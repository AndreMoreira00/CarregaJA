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book.xml" ContentType="application/vnd.openxmlformats-officedocument.spreadsheetml.template.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1840" windowHeight="13020" tabRatio="600" firstSheet="0" activeTab="0" autoFilterDateGrouping="1"/>
  </bookViews>
  <sheets>
    <sheet xmlns:r="http://schemas.openxmlformats.org/officeDocument/2006/relationships" name="Equipe" sheetId="1" state="visible" r:id="rId1"/>
    <sheet xmlns:r="http://schemas.openxmlformats.org/officeDocument/2006/relationships" name="Backlog_Produto" sheetId="2" state="visible" r:id="rId2"/>
    <sheet xmlns:r="http://schemas.openxmlformats.org/officeDocument/2006/relationships" name="Planejamento" sheetId="3" state="visible" r:id="rId3"/>
    <sheet xmlns:r="http://schemas.openxmlformats.org/officeDocument/2006/relationships" name="Entregas" sheetId="4" state="visible" r:id="rId4"/>
    <sheet xmlns:r="http://schemas.openxmlformats.org/officeDocument/2006/relationships" name="Riscos" sheetId="5" state="visible" r:id="rId5"/>
    <sheet xmlns:r="http://schemas.openxmlformats.org/officeDocument/2006/relationships" name="#Estimativa-APF#" sheetId="6" state="visible" r:id="rId6"/>
    <sheet xmlns:r="http://schemas.openxmlformats.org/officeDocument/2006/relationships" name="#Planejamento-APF#" sheetId="7" state="visible" r:id="rId7"/>
  </sheets>
  <definedNames>
    <definedName name="Restante">"OFFSET([$#REF!.$B$12];0;0;1;COUNT([$#REF!.$B$12:.$L$12]))"</definedName>
    <definedName name="Restante2">"OFFSET(#ref!,0,0,1,COUNT(#ref!)))"</definedName>
  </definedNames>
  <calcPr calcId="191029" fullCalcOnLoad="1" iterateDelta="0.0001"/>
</workbook>
</file>

<file path=xl/styles.xml><?xml version="1.0" encoding="utf-8"?>
<styleSheet xmlns="http://schemas.openxmlformats.org/spreadsheetml/2006/main">
  <numFmts count="11">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 numFmtId="172" formatCode="#,##0.00&quot; &quot;;&quot;-&quot;#,##0.00&quot; &quot;;&quot; -&quot;#&quot; &quot;;@&quot; &quot;"/>
    <numFmt numFmtId="173" formatCode="[$R$-416]&quot; &quot;#,##0.00;[Red]&quot;-&quot;[$R$-416]&quot; &quot;#,##0.00"/>
    <numFmt numFmtId="174" formatCode="DD/MM/YYYY"/>
  </numFmts>
  <fonts count="41">
    <font>
      <name val="Arial"/>
      <family val="2"/>
      <color rgb="FF000000"/>
      <sz val="11"/>
    </font>
    <font>
      <name val="Arial"/>
      <family val="2"/>
      <color rgb="FF000000"/>
      <sz val="11"/>
    </font>
    <font>
      <name val="Arial"/>
      <family val="2"/>
      <color rgb="FFFFFFFF"/>
      <sz val="11"/>
    </font>
    <font>
      <name val="Arial"/>
      <family val="2"/>
      <b val="1"/>
      <color rgb="FF000000"/>
      <sz val="11"/>
    </font>
    <font>
      <name val="Arial"/>
      <family val="2"/>
      <color rgb="FF666699"/>
      <sz val="11"/>
    </font>
    <font>
      <name val="Calibri"/>
      <family val="2"/>
      <color rgb="FF000000"/>
      <sz val="11"/>
    </font>
    <font>
      <name val="Arial"/>
      <family val="2"/>
      <b val="1"/>
      <i val="1"/>
      <color rgb="FF000000"/>
      <sz val="16"/>
    </font>
    <font>
      <name val="Arial"/>
      <family val="2"/>
      <b val="1"/>
      <i val="1"/>
      <color rgb="FF000000"/>
      <sz val="11"/>
      <u val="single"/>
    </font>
    <font>
      <name val="Segoe UI"/>
      <family val="2"/>
      <b val="1"/>
      <color rgb="FFFFFFFF"/>
      <sz val="14"/>
    </font>
    <font>
      <name val="Segoe UI"/>
      <family val="2"/>
      <b val="1"/>
      <color rgb="FF000000"/>
      <sz val="16"/>
    </font>
    <font>
      <name val="Segoe UI"/>
      <family val="2"/>
      <b val="1"/>
      <color rgb="FF000000"/>
      <sz val="9"/>
    </font>
    <font>
      <name val="Segoe UI"/>
      <family val="2"/>
      <b val="1"/>
      <color rgb="FFFFFFFF"/>
      <sz val="10"/>
    </font>
    <font>
      <name val="Arial"/>
      <family val="2"/>
      <color rgb="FF000000"/>
      <sz val="10"/>
    </font>
    <font>
      <name val="Segoe UI"/>
      <family val="2"/>
      <b val="1"/>
      <color rgb="FFFFFFFF"/>
      <sz val="9"/>
    </font>
    <font>
      <name val="Calibri"/>
      <family val="2"/>
      <color rgb="FF000000"/>
      <sz val="9"/>
    </font>
    <font>
      <name val="Arial"/>
      <family val="2"/>
      <i val="1"/>
      <color rgb="FF376092"/>
      <sz val="9"/>
    </font>
    <font>
      <name val="Arial"/>
      <family val="2"/>
      <b val="1"/>
      <color rgb="FF000000"/>
      <sz val="9"/>
    </font>
    <font>
      <name val="Arial"/>
      <family val="2"/>
      <color rgb="FF000000"/>
      <sz val="9"/>
    </font>
    <font>
      <name val="Arial"/>
      <family val="2"/>
      <b val="1"/>
      <color rgb="FF000000"/>
      <sz val="10"/>
    </font>
    <font>
      <name val="Arial"/>
      <family val="2"/>
      <b val="1"/>
      <i val="1"/>
      <color rgb="FF0000FF"/>
      <sz val="9"/>
    </font>
    <font>
      <name val="Arial"/>
      <family val="2"/>
      <i val="1"/>
      <color rgb="FF0000FF"/>
      <sz val="9"/>
    </font>
    <font>
      <name val="Calibri"/>
      <family val="2"/>
      <b val="1"/>
      <color rgb="FF000000"/>
      <sz val="12"/>
    </font>
    <font>
      <name val="Calibri"/>
      <family val="2"/>
      <b val="1"/>
      <color rgb="FFFFFFFF"/>
      <sz val="12"/>
    </font>
    <font>
      <name val="Segoe UI"/>
      <family val="2"/>
      <color rgb="FF000000"/>
      <sz val="9"/>
    </font>
    <font>
      <name val="Calibri"/>
      <family val="2"/>
      <color rgb="FF000000"/>
      <sz val="10"/>
    </font>
    <font>
      <name val="Calibri"/>
      <family val="2"/>
      <b val="1"/>
      <color rgb="FF000000"/>
      <sz val="15"/>
    </font>
    <font>
      <name val="Calibri"/>
      <family val="2"/>
      <b val="1"/>
      <color rgb="FF000000"/>
      <sz val="14"/>
    </font>
    <font>
      <name val="Calibri"/>
      <family val="2"/>
      <b val="1"/>
      <color rgb="FFFFFFFF"/>
      <sz val="18"/>
    </font>
    <font>
      <name val="Calibri"/>
      <family val="2"/>
      <b val="1"/>
      <color rgb="FFFFFFFF"/>
      <sz val="10"/>
    </font>
    <font>
      <name val="Calibri"/>
      <family val="2"/>
      <i val="1"/>
      <color rgb="FF0000FF"/>
      <sz val="10"/>
    </font>
    <font>
      <name val="Calibri"/>
      <family val="2"/>
      <b val="1"/>
      <i val="1"/>
      <color rgb="FF0000FF"/>
      <sz val="10"/>
    </font>
    <font>
      <name val="Calibri"/>
      <family val="2"/>
      <b val="1"/>
      <color rgb="FF000000"/>
      <sz val="10"/>
    </font>
    <font>
      <name val="Arial"/>
      <family val="2"/>
      <color rgb="FF000000"/>
      <sz val="8"/>
    </font>
    <font>
      <name val="Arial"/>
      <family val="2"/>
      <b val="1"/>
      <color rgb="FF000000"/>
      <sz val="8"/>
    </font>
    <font>
      <name val="Calibri"/>
      <family val="2"/>
      <b val="1"/>
      <color rgb="FFFFFFFF"/>
      <sz val="11"/>
    </font>
    <font>
      <name val="Calibri"/>
      <family val="2"/>
      <b val="1"/>
      <color rgb="FFFFFFFF"/>
      <sz val="16"/>
    </font>
    <font>
      <name val="Calibri"/>
      <family val="2"/>
      <b val="1"/>
      <color rgb="FF000000"/>
      <sz val="9"/>
    </font>
    <font>
      <name val="Calibri"/>
      <family val="2"/>
      <b val="1"/>
      <color rgb="FF000000"/>
      <sz val="11"/>
    </font>
    <font>
      <name val="Arial"/>
      <family val="2"/>
      <b val="1"/>
      <color rgb="FFFFFFFF"/>
      <sz val="12"/>
    </font>
    <font>
      <name val="Calibri"/>
      <family val="2"/>
      <b val="1"/>
      <color rgb="FFFFFFFF"/>
      <sz val="14"/>
    </font>
    <font>
      <name val="Calibri"/>
      <family val="2"/>
      <color rgb="FF000000"/>
      <sz val="14"/>
    </font>
  </fonts>
  <fills count="17">
    <fill>
      <patternFill/>
    </fill>
    <fill>
      <patternFill patternType="gray125"/>
    </fill>
    <fill>
      <patternFill patternType="solid">
        <fgColor rgb="FFCCFFCC"/>
        <bgColor rgb="FFCCFFCC"/>
      </patternFill>
    </fill>
    <fill>
      <patternFill patternType="solid">
        <fgColor rgb="FFFFFF00"/>
        <bgColor rgb="FFFFFF00"/>
      </patternFill>
    </fill>
    <fill>
      <patternFill patternType="solid">
        <fgColor rgb="FFFF8080"/>
        <bgColor rgb="FFFF8080"/>
      </patternFill>
    </fill>
    <fill>
      <patternFill patternType="solid">
        <fgColor rgb="FFC00000"/>
        <bgColor rgb="FFC000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FF99"/>
        <bgColor rgb="FFFFFF99"/>
      </patternFill>
    </fill>
    <fill>
      <patternFill patternType="solid">
        <fgColor rgb="FFFF0000"/>
        <bgColor rgb="FFFF0000"/>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bottom style="thin">
        <color rgb="FF000000"/>
      </bottom>
      <diagonal/>
    </border>
    <border>
      <left/>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s>
  <cellStyleXfs count="16">
    <xf numFmtId="0" fontId="1" fillId="0" borderId="0"/>
    <xf numFmtId="0" fontId="2" fillId="0" borderId="0"/>
    <xf numFmtId="0" fontId="3" fillId="0" borderId="0"/>
    <xf numFmtId="0" fontId="4" fillId="0" borderId="0"/>
    <xf numFmtId="0" fontId="1" fillId="2" borderId="0"/>
    <xf numFmtId="0" fontId="1" fillId="3" borderId="0"/>
    <xf numFmtId="0" fontId="1" fillId="4" borderId="0"/>
    <xf numFmtId="0" fontId="3" fillId="0" borderId="0"/>
    <xf numFmtId="172" fontId="5" fillId="0" borderId="0"/>
    <xf numFmtId="167" fontId="5" fillId="0" borderId="0"/>
    <xf numFmtId="164" fontId="5" fillId="0" borderId="0"/>
    <xf numFmtId="165" fontId="5" fillId="0" borderId="0"/>
    <xf numFmtId="0" fontId="6" fillId="0" borderId="0" applyAlignment="1">
      <alignment horizontal="center"/>
    </xf>
    <xf numFmtId="0" fontId="6" fillId="0" borderId="0" applyAlignment="1">
      <alignment horizontal="center" textRotation="90"/>
    </xf>
    <xf numFmtId="0" fontId="7" fillId="0" borderId="0"/>
    <xf numFmtId="173" fontId="7" fillId="0" borderId="0"/>
  </cellStyleXfs>
  <cellXfs count="213">
    <xf numFmtId="0" fontId="0" fillId="0" borderId="0" pivotButton="0" quotePrefix="0" xfId="0"/>
    <xf numFmtId="164" fontId="5" fillId="0" borderId="0" pivotButton="0" quotePrefix="0" xfId="10"/>
    <xf numFmtId="164" fontId="11" fillId="5" borderId="1" applyAlignment="1" pivotButton="0" quotePrefix="0" xfId="10">
      <alignment horizontal="center" vertical="center" wrapText="1"/>
    </xf>
    <xf numFmtId="164" fontId="12" fillId="3" borderId="1" applyProtection="1" pivotButton="0" quotePrefix="0" xfId="10">
      <protection locked="0" hidden="0"/>
    </xf>
    <xf numFmtId="164" fontId="8" fillId="5" borderId="1" applyAlignment="1" pivotButton="0" quotePrefix="0" xfId="10">
      <alignment horizontal="center" vertical="center" wrapText="1"/>
    </xf>
    <xf numFmtId="164" fontId="9" fillId="3" borderId="1" applyAlignment="1" applyProtection="1" pivotButton="0" quotePrefix="0" xfId="10">
      <alignment horizontal="center" vertical="center" wrapText="1"/>
      <protection locked="0" hidden="0"/>
    </xf>
    <xf numFmtId="164" fontId="14" fillId="0" borderId="0" pivotButton="0" quotePrefix="0" xfId="10"/>
    <xf numFmtId="164" fontId="16" fillId="6" borderId="1" applyAlignment="1" pivotButton="0" quotePrefix="0" xfId="10">
      <alignment horizontal="center" vertical="center" wrapText="1"/>
    </xf>
    <xf numFmtId="164" fontId="16" fillId="6" borderId="1" applyAlignment="1" pivotButton="0" quotePrefix="0" xfId="10">
      <alignment wrapText="1"/>
    </xf>
    <xf numFmtId="164" fontId="16" fillId="7" borderId="1" applyAlignment="1" applyProtection="1" pivotButton="0" quotePrefix="0" xfId="10">
      <alignment horizontal="center" vertical="center" wrapText="1"/>
      <protection locked="0" hidden="0"/>
    </xf>
    <xf numFmtId="164" fontId="16" fillId="7" borderId="1" applyAlignment="1" applyProtection="1" pivotButton="0" quotePrefix="0" xfId="10">
      <alignment horizontal="center" vertical="center"/>
      <protection locked="0" hidden="0"/>
    </xf>
    <xf numFmtId="164" fontId="16" fillId="7" borderId="5" applyAlignment="1" applyProtection="1" pivotButton="0" quotePrefix="0" xfId="10">
      <alignment horizontal="center" vertical="center" wrapText="1"/>
      <protection locked="0" hidden="0"/>
    </xf>
    <xf numFmtId="164" fontId="16" fillId="7" borderId="6" applyAlignment="1" applyProtection="1" pivotButton="0" quotePrefix="0" xfId="10">
      <alignment horizontal="center" vertical="center" wrapText="1"/>
      <protection locked="0" hidden="0"/>
    </xf>
    <xf numFmtId="164" fontId="16" fillId="7" borderId="6" applyAlignment="1" applyProtection="1" pivotButton="0" quotePrefix="0" xfId="10">
      <alignment vertical="center" wrapText="1"/>
      <protection locked="0" hidden="0"/>
    </xf>
    <xf numFmtId="164" fontId="17" fillId="3" borderId="1" applyProtection="1" pivotButton="0" quotePrefix="0" xfId="10">
      <protection locked="0" hidden="0"/>
    </xf>
    <xf numFmtId="164" fontId="18" fillId="3" borderId="1" applyAlignment="1" applyProtection="1" pivotButton="0" quotePrefix="0" xfId="10">
      <alignment horizontal="center" vertical="center"/>
      <protection locked="0" hidden="0"/>
    </xf>
    <xf numFmtId="164" fontId="16" fillId="3" borderId="6" applyAlignment="1" applyProtection="1" pivotButton="0" quotePrefix="0" xfId="10">
      <alignment horizontal="center" vertical="center" wrapText="1"/>
      <protection locked="0" hidden="0"/>
    </xf>
    <xf numFmtId="164" fontId="17" fillId="3" borderId="1" applyAlignment="1" applyProtection="1" pivotButton="0" quotePrefix="0" xfId="10">
      <alignment horizontal="center" vertical="center"/>
      <protection locked="0" hidden="0"/>
    </xf>
    <xf numFmtId="164" fontId="18" fillId="8" borderId="1" applyAlignment="1" applyProtection="1" pivotButton="0" quotePrefix="0" xfId="10">
      <alignment horizontal="center" vertical="center"/>
      <protection locked="0" hidden="0"/>
    </xf>
    <xf numFmtId="164" fontId="16" fillId="3" borderId="1" applyAlignment="1" applyProtection="1" pivotButton="0" quotePrefix="0" xfId="10">
      <alignment horizontal="center" vertical="center" wrapText="1"/>
      <protection locked="0" hidden="0"/>
    </xf>
    <xf numFmtId="164" fontId="17" fillId="3" borderId="1" applyAlignment="1" applyProtection="1" pivotButton="0" quotePrefix="0" xfId="10">
      <alignment horizontal="left"/>
      <protection locked="0" hidden="0"/>
    </xf>
    <xf numFmtId="164" fontId="19" fillId="9" borderId="1" applyAlignment="1" applyProtection="1" pivotButton="0" quotePrefix="0" xfId="10">
      <alignment horizontal="left"/>
      <protection locked="0" hidden="0"/>
    </xf>
    <xf numFmtId="164" fontId="20" fillId="9" borderId="1" applyAlignment="1" applyProtection="1" pivotButton="0" quotePrefix="0" xfId="10">
      <alignment horizontal="left"/>
      <protection locked="0" hidden="0"/>
    </xf>
    <xf numFmtId="164" fontId="5" fillId="0" borderId="0" applyAlignment="1" pivotButton="0" quotePrefix="0" xfId="10">
      <alignment horizontal="center" vertical="center"/>
    </xf>
    <xf numFmtId="164" fontId="16" fillId="7" borderId="1" applyAlignment="1" applyProtection="1" pivotButton="0" quotePrefix="0" xfId="10">
      <alignment vertical="center" wrapText="1"/>
      <protection locked="0" hidden="0"/>
    </xf>
    <xf numFmtId="164" fontId="14" fillId="0" borderId="0" applyAlignment="1" pivotButton="0" quotePrefix="0" xfId="10">
      <alignment horizontal="center" vertical="center"/>
    </xf>
    <xf numFmtId="164" fontId="21" fillId="0" borderId="0" applyAlignment="1" pivotButton="0" quotePrefix="0" xfId="10">
      <alignment horizontal="center" vertical="center"/>
    </xf>
    <xf numFmtId="164" fontId="13" fillId="5" borderId="2" applyAlignment="1" pivotButton="0" quotePrefix="0" xfId="10">
      <alignment horizontal="center" vertical="center" wrapText="1"/>
    </xf>
    <xf numFmtId="164" fontId="13" fillId="5" borderId="3" applyAlignment="1" pivotButton="0" quotePrefix="0" xfId="10">
      <alignment horizontal="center" vertical="center" wrapText="1"/>
    </xf>
    <xf numFmtId="164" fontId="15" fillId="6" borderId="3" applyAlignment="1" pivotButton="0" quotePrefix="0" xfId="10">
      <alignment horizontal="center" vertical="center" wrapText="1"/>
    </xf>
    <xf numFmtId="164" fontId="15" fillId="6" borderId="4" applyAlignment="1" pivotButton="0" quotePrefix="0" xfId="10">
      <alignment horizontal="center" vertical="center" wrapText="1"/>
    </xf>
    <xf numFmtId="164" fontId="16" fillId="6" borderId="1" applyAlignment="1" pivotButton="0" quotePrefix="0" xfId="10">
      <alignment horizontal="center" vertical="center" wrapText="1"/>
    </xf>
    <xf numFmtId="164" fontId="16" fillId="7" borderId="1" applyAlignment="1" applyProtection="1" pivotButton="0" quotePrefix="0" xfId="10">
      <alignment horizontal="center" vertical="center" wrapText="1"/>
      <protection locked="0" hidden="0"/>
    </xf>
    <xf numFmtId="0" fontId="0" fillId="7" borderId="1" pivotButton="0" quotePrefix="0" xfId="0"/>
    <xf numFmtId="164" fontId="5" fillId="0" borderId="0" applyAlignment="1" pivotButton="0" quotePrefix="0" xfId="10">
      <alignment horizontal="center"/>
    </xf>
    <xf numFmtId="164" fontId="21" fillId="6" borderId="1" pivotButton="0" quotePrefix="0" xfId="10"/>
    <xf numFmtId="164" fontId="21" fillId="6" borderId="1" applyAlignment="1" pivotButton="0" quotePrefix="0" xfId="10">
      <alignment horizontal="center"/>
    </xf>
    <xf numFmtId="164" fontId="5" fillId="6" borderId="1" applyAlignment="1" pivotButton="0" quotePrefix="0" xfId="10">
      <alignment horizontal="left"/>
    </xf>
    <xf numFmtId="165" fontId="24" fillId="3" borderId="1" applyAlignment="1" applyProtection="1" pivotButton="0" quotePrefix="0" xfId="10">
      <alignment horizontal="center"/>
      <protection locked="0" hidden="0"/>
    </xf>
    <xf numFmtId="164" fontId="5" fillId="6" borderId="1" pivotButton="0" quotePrefix="0" xfId="10"/>
    <xf numFmtId="164" fontId="5" fillId="3" borderId="1" applyAlignment="1" applyProtection="1" pivotButton="0" quotePrefix="0" xfId="10">
      <alignment horizontal="center"/>
      <protection locked="0" hidden="0"/>
    </xf>
    <xf numFmtId="166" fontId="5" fillId="6" borderId="1" applyAlignment="1" pivotButton="0" quotePrefix="0" xfId="10">
      <alignment horizontal="center"/>
    </xf>
    <xf numFmtId="164" fontId="25" fillId="6" borderId="1" pivotButton="0" quotePrefix="0" xfId="10"/>
    <xf numFmtId="166" fontId="25" fillId="6" borderId="1" applyAlignment="1" pivotButton="0" quotePrefix="0" xfId="10">
      <alignment horizontal="center"/>
    </xf>
    <xf numFmtId="164" fontId="25" fillId="6" borderId="1" applyAlignment="1" pivotButton="0" quotePrefix="0" xfId="10">
      <alignment horizontal="left"/>
    </xf>
    <xf numFmtId="166" fontId="21" fillId="6" borderId="1" applyAlignment="1" pivotButton="0" quotePrefix="0" xfId="10">
      <alignment horizontal="center"/>
    </xf>
    <xf numFmtId="167" fontId="24" fillId="3" borderId="1" applyAlignment="1" applyProtection="1" pivotButton="0" quotePrefix="0" xfId="9">
      <alignment horizontal="center"/>
      <protection locked="0" hidden="0"/>
    </xf>
    <xf numFmtId="164" fontId="24" fillId="6" borderId="1" applyAlignment="1" pivotButton="0" quotePrefix="0" xfId="10">
      <alignment horizontal="left"/>
    </xf>
    <xf numFmtId="167" fontId="24" fillId="6" borderId="1" applyAlignment="1" pivotButton="0" quotePrefix="0" xfId="9">
      <alignment horizontal="center"/>
    </xf>
    <xf numFmtId="167" fontId="24" fillId="6" borderId="1" applyAlignment="1" pivotButton="0" quotePrefix="0" xfId="10">
      <alignment horizontal="center"/>
    </xf>
    <xf numFmtId="164" fontId="26" fillId="6" borderId="1" pivotButton="0" quotePrefix="0" xfId="10"/>
    <xf numFmtId="167" fontId="26" fillId="6" borderId="1" pivotButton="0" quotePrefix="0" xfId="10"/>
    <xf numFmtId="167" fontId="24" fillId="6" borderId="1" pivotButton="0" quotePrefix="0" xfId="10"/>
    <xf numFmtId="164" fontId="22" fillId="5" borderId="1" applyAlignment="1" pivotButton="0" quotePrefix="0" xfId="10">
      <alignment horizontal="center"/>
    </xf>
    <xf numFmtId="164" fontId="22" fillId="5" borderId="7" applyAlignment="1" pivotButton="0" quotePrefix="0" xfId="10">
      <alignment horizontal="center"/>
    </xf>
    <xf numFmtId="164" fontId="22" fillId="5" borderId="1" applyAlignment="1" pivotButton="0" quotePrefix="0" xfId="10">
      <alignment horizontal="left"/>
    </xf>
    <xf numFmtId="166" fontId="22" fillId="5" borderId="1" applyAlignment="1" pivotButton="0" quotePrefix="0" xfId="10">
      <alignment horizontal="center"/>
    </xf>
    <xf numFmtId="164" fontId="28" fillId="10" borderId="3" applyAlignment="1" pivotButton="0" quotePrefix="0" xfId="10">
      <alignment horizontal="left"/>
    </xf>
    <xf numFmtId="166" fontId="28" fillId="10" borderId="7" applyAlignment="1" pivotButton="0" quotePrefix="0" xfId="10">
      <alignment horizontal="center"/>
    </xf>
    <xf numFmtId="164" fontId="28" fillId="10" borderId="7" applyAlignment="1" pivotButton="0" quotePrefix="0" xfId="10">
      <alignment horizontal="left"/>
    </xf>
    <xf numFmtId="164" fontId="28" fillId="10" borderId="1" applyAlignment="1" pivotButton="0" quotePrefix="0" xfId="10">
      <alignment horizontal="center"/>
    </xf>
    <xf numFmtId="164" fontId="28" fillId="10" borderId="7" applyAlignment="1" pivotButton="0" quotePrefix="0" xfId="10">
      <alignment horizontal="center" vertical="center"/>
    </xf>
    <xf numFmtId="164" fontId="28" fillId="10" borderId="7" applyAlignment="1" pivotButton="0" quotePrefix="0" xfId="10">
      <alignment horizontal="center"/>
    </xf>
    <xf numFmtId="164" fontId="28" fillId="10" borderId="1" applyAlignment="1" pivotButton="0" quotePrefix="0" xfId="10">
      <alignment horizontal="center" vertical="center"/>
    </xf>
    <xf numFmtId="164" fontId="24" fillId="6" borderId="1" applyAlignment="1" applyProtection="1" pivotButton="0" quotePrefix="0" xfId="10">
      <alignment horizontal="center"/>
      <protection locked="0" hidden="0"/>
    </xf>
    <xf numFmtId="164" fontId="29" fillId="3" borderId="1" applyAlignment="1" applyProtection="1" pivotButton="0" quotePrefix="0" xfId="10">
      <alignment horizontal="left" wrapText="1"/>
      <protection locked="0" hidden="0"/>
    </xf>
    <xf numFmtId="168" fontId="29" fillId="9" borderId="1" applyAlignment="1" applyProtection="1" pivotButton="0" quotePrefix="0" xfId="10">
      <alignment horizontal="center"/>
      <protection locked="0" hidden="0"/>
    </xf>
    <xf numFmtId="169" fontId="29" fillId="9" borderId="1" applyAlignment="1" applyProtection="1" pivotButton="0" quotePrefix="0" xfId="8">
      <alignment horizontal="center" vertical="center"/>
      <protection locked="0" hidden="0"/>
    </xf>
    <xf numFmtId="164" fontId="30" fillId="3" borderId="1" applyProtection="1" pivotButton="0" quotePrefix="0" xfId="10">
      <protection locked="0" hidden="0"/>
    </xf>
    <xf numFmtId="169" fontId="29" fillId="11" borderId="1" applyAlignment="1" applyProtection="1" pivotButton="0" quotePrefix="0" xfId="8">
      <alignment horizontal="center" vertical="center"/>
      <protection locked="0" hidden="0"/>
    </xf>
    <xf numFmtId="164" fontId="29" fillId="3" borderId="1" applyAlignment="1" applyProtection="1" pivotButton="0" quotePrefix="0" xfId="10">
      <alignment horizontal="center"/>
      <protection locked="0" hidden="0"/>
    </xf>
    <xf numFmtId="170" fontId="29" fillId="9" borderId="1" applyAlignment="1" applyProtection="1" pivotButton="0" quotePrefix="0" xfId="8">
      <alignment horizontal="center" vertical="center"/>
      <protection locked="0" hidden="0"/>
    </xf>
    <xf numFmtId="170" fontId="29" fillId="11" borderId="1" applyAlignment="1" applyProtection="1" pivotButton="0" quotePrefix="0" xfId="8">
      <alignment horizontal="center" vertical="center"/>
      <protection locked="0" hidden="0"/>
    </xf>
    <xf numFmtId="164" fontId="24" fillId="3" borderId="1" applyAlignment="1" applyProtection="1" pivotButton="0" quotePrefix="0" xfId="10">
      <alignment horizontal="left" wrapText="1"/>
      <protection locked="0" hidden="0"/>
    </xf>
    <xf numFmtId="168" fontId="24" fillId="9" borderId="1" applyAlignment="1" applyProtection="1" pivotButton="0" quotePrefix="0" xfId="10">
      <alignment horizontal="center"/>
      <protection locked="0" hidden="0"/>
    </xf>
    <xf numFmtId="170" fontId="24" fillId="9" borderId="1" applyAlignment="1" applyProtection="1" pivotButton="0" quotePrefix="0" xfId="8">
      <alignment horizontal="center" vertical="center"/>
      <protection locked="0" hidden="0"/>
    </xf>
    <xf numFmtId="164" fontId="31" fillId="3" borderId="1" applyProtection="1" pivotButton="0" quotePrefix="0" xfId="10">
      <protection locked="0" hidden="0"/>
    </xf>
    <xf numFmtId="170" fontId="24" fillId="11" borderId="1" applyAlignment="1" applyProtection="1" pivotButton="0" quotePrefix="0" xfId="8">
      <alignment horizontal="center" vertical="center"/>
      <protection locked="0" hidden="0"/>
    </xf>
    <xf numFmtId="164" fontId="24" fillId="3" borderId="1" applyAlignment="1" applyProtection="1" pivotButton="0" quotePrefix="0" xfId="10">
      <alignment horizontal="center"/>
      <protection locked="0" hidden="0"/>
    </xf>
    <xf numFmtId="164" fontId="24" fillId="0" borderId="8" applyAlignment="1" pivotButton="0" quotePrefix="0" xfId="10">
      <alignment horizontal="left"/>
    </xf>
    <xf numFmtId="164" fontId="24" fillId="0" borderId="8" pivotButton="0" quotePrefix="0" xfId="10"/>
    <xf numFmtId="164" fontId="18" fillId="0" borderId="8" applyAlignment="1" pivotButton="0" quotePrefix="0" xfId="10">
      <alignment horizontal="left"/>
    </xf>
    <xf numFmtId="169" fontId="24" fillId="0" borderId="8" pivotButton="0" quotePrefix="0" xfId="10"/>
    <xf numFmtId="164" fontId="24" fillId="0" borderId="0" pivotButton="0" quotePrefix="0" xfId="10"/>
    <xf numFmtId="169" fontId="24" fillId="0" borderId="8" applyAlignment="1" pivotButton="0" quotePrefix="0" xfId="10">
      <alignment horizontal="center" vertical="center"/>
    </xf>
    <xf numFmtId="164" fontId="14" fillId="0" borderId="0" applyAlignment="1" pivotButton="0" quotePrefix="0" xfId="10">
      <alignment horizontal="center"/>
    </xf>
    <xf numFmtId="164" fontId="27" fillId="5" borderId="3" applyAlignment="1" pivotButton="0" quotePrefix="0" xfId="10">
      <alignment horizontal="center"/>
    </xf>
    <xf numFmtId="164" fontId="22" fillId="5" borderId="1" applyAlignment="1" pivotButton="0" quotePrefix="0" xfId="10">
      <alignment horizontal="left"/>
    </xf>
    <xf numFmtId="166" fontId="28" fillId="10" borderId="1" applyAlignment="1" pivotButton="0" quotePrefix="0" xfId="10">
      <alignment horizontal="center"/>
    </xf>
    <xf numFmtId="164" fontId="28" fillId="10" borderId="1" applyAlignment="1" pivotButton="0" quotePrefix="0" xfId="10">
      <alignment horizontal="center"/>
    </xf>
    <xf numFmtId="164" fontId="5" fillId="12" borderId="0" applyAlignment="1" pivotButton="0" quotePrefix="0" xfId="10">
      <alignment wrapText="1"/>
    </xf>
    <xf numFmtId="164" fontId="32" fillId="12" borderId="0" applyAlignment="1" pivotButton="0" quotePrefix="0" xfId="10">
      <alignment wrapText="1"/>
    </xf>
    <xf numFmtId="164" fontId="33" fillId="13" borderId="1" applyAlignment="1" pivotButton="0" quotePrefix="0" xfId="10">
      <alignment wrapText="1"/>
    </xf>
    <xf numFmtId="164" fontId="32" fillId="12" borderId="1" applyAlignment="1" pivotButton="0" quotePrefix="0" xfId="10">
      <alignment wrapText="1"/>
    </xf>
    <xf numFmtId="164" fontId="32" fillId="12" borderId="0" applyAlignment="1" pivotButton="0" quotePrefix="0" xfId="10">
      <alignment horizontal="left" wrapText="1"/>
    </xf>
    <xf numFmtId="164" fontId="32" fillId="12" borderId="1" applyAlignment="1" pivotButton="0" quotePrefix="0" xfId="10">
      <alignment horizontal="left" wrapText="1"/>
    </xf>
    <xf numFmtId="164" fontId="32" fillId="12" borderId="6" applyAlignment="1" pivotButton="0" quotePrefix="0" xfId="10">
      <alignment wrapText="1"/>
    </xf>
    <xf numFmtId="164" fontId="33" fillId="13" borderId="6" applyAlignment="1" pivotButton="0" quotePrefix="0" xfId="10">
      <alignment vertical="center" wrapText="1"/>
    </xf>
    <xf numFmtId="164" fontId="33" fillId="13" borderId="9" applyAlignment="1" pivotButton="0" quotePrefix="0" xfId="10">
      <alignment horizontal="center" vertical="center" wrapText="1"/>
    </xf>
    <xf numFmtId="164" fontId="33" fillId="12" borderId="0" applyAlignment="1" pivotButton="0" quotePrefix="0" xfId="10">
      <alignment horizontal="center" vertical="center" wrapText="1"/>
    </xf>
    <xf numFmtId="164" fontId="33" fillId="15" borderId="1" applyAlignment="1" pivotButton="0" quotePrefix="0" xfId="10">
      <alignment horizontal="center" vertical="center" wrapText="1"/>
    </xf>
    <xf numFmtId="164" fontId="32" fillId="12" borderId="0" applyAlignment="1" pivotButton="0" quotePrefix="0" xfId="10">
      <alignment vertical="top" wrapText="1"/>
    </xf>
    <xf numFmtId="166" fontId="32" fillId="3" borderId="1" applyAlignment="1" pivotButton="0" quotePrefix="0" xfId="10">
      <alignment horizontal="center" vertical="center" wrapText="1"/>
    </xf>
    <xf numFmtId="166" fontId="32" fillId="3" borderId="1" applyAlignment="1" pivotButton="0" quotePrefix="0" xfId="10">
      <alignment horizontal="left" vertical="center" wrapText="1"/>
    </xf>
    <xf numFmtId="171" fontId="32" fillId="14" borderId="1" applyAlignment="1" pivotButton="0" quotePrefix="0" xfId="10">
      <alignment horizontal="center" vertical="center" wrapText="1"/>
    </xf>
    <xf numFmtId="164" fontId="32" fillId="14" borderId="1" applyAlignment="1" pivotButton="0" quotePrefix="0" xfId="10">
      <alignment horizontal="center" vertical="center" wrapText="1"/>
    </xf>
    <xf numFmtId="164" fontId="33" fillId="12" borderId="1" applyAlignment="1" pivotButton="0" quotePrefix="0" xfId="10">
      <alignment horizontal="center" vertical="center" wrapText="1"/>
    </xf>
    <xf numFmtId="164" fontId="32" fillId="14" borderId="1" applyAlignment="1" pivotButton="0" quotePrefix="0" xfId="10">
      <alignment vertical="top" wrapText="1"/>
    </xf>
    <xf numFmtId="164" fontId="32" fillId="14" borderId="4" applyAlignment="1" pivotButton="0" quotePrefix="0" xfId="10">
      <alignment vertical="top" wrapText="1"/>
    </xf>
    <xf numFmtId="164" fontId="32" fillId="14" borderId="10" applyAlignment="1" pivotButton="0" quotePrefix="0" xfId="10">
      <alignment vertical="top" wrapText="1"/>
    </xf>
    <xf numFmtId="164" fontId="33" fillId="13" borderId="1" applyAlignment="1" pivotButton="0" quotePrefix="0" xfId="10">
      <alignment horizontal="center" wrapText="1"/>
    </xf>
    <xf numFmtId="164" fontId="33" fillId="10" borderId="1" applyAlignment="1" pivotButton="0" quotePrefix="0" xfId="10">
      <alignment horizontal="center" wrapText="1"/>
    </xf>
    <xf numFmtId="164" fontId="32" fillId="3" borderId="1" applyAlignment="1" pivotButton="0" quotePrefix="0" xfId="10">
      <alignment horizontal="center" wrapText="1"/>
    </xf>
    <xf numFmtId="164" fontId="32" fillId="14" borderId="1" applyAlignment="1" pivotButton="0" quotePrefix="0" xfId="10">
      <alignment horizontal="center" wrapText="1"/>
    </xf>
    <xf numFmtId="164" fontId="32" fillId="12" borderId="1" applyAlignment="1" pivotButton="0" quotePrefix="0" xfId="10">
      <alignment horizontal="center" wrapText="1"/>
    </xf>
    <xf numFmtId="164" fontId="34" fillId="5" borderId="3" applyAlignment="1" pivotButton="0" quotePrefix="0" xfId="10">
      <alignment horizontal="center"/>
    </xf>
    <xf numFmtId="164" fontId="33" fillId="13" borderId="1" applyAlignment="1" pivotButton="0" quotePrefix="0" xfId="10">
      <alignment horizontal="center" vertical="center" wrapText="1"/>
    </xf>
    <xf numFmtId="0" fontId="0" fillId="15" borderId="1" pivotButton="0" quotePrefix="0" xfId="0"/>
    <xf numFmtId="164" fontId="33" fillId="15" borderId="1" applyAlignment="1" pivotButton="0" quotePrefix="0" xfId="10">
      <alignment horizontal="center" vertical="center" wrapText="1"/>
    </xf>
    <xf numFmtId="164" fontId="33" fillId="15" borderId="4" applyAlignment="1" pivotButton="0" quotePrefix="0" xfId="10">
      <alignment horizontal="center" vertical="center" wrapText="1"/>
    </xf>
    <xf numFmtId="0" fontId="0" fillId="14" borderId="1" pivotButton="0" quotePrefix="0" xfId="0"/>
    <xf numFmtId="164" fontId="14" fillId="12" borderId="0" applyAlignment="1" pivotButton="0" quotePrefix="0" xfId="10">
      <alignment wrapText="1"/>
    </xf>
    <xf numFmtId="164" fontId="17" fillId="3" borderId="1" applyAlignment="1" pivotButton="0" quotePrefix="0" xfId="10">
      <alignment horizontal="center" wrapText="1"/>
    </xf>
    <xf numFmtId="164" fontId="17" fillId="14" borderId="1" applyAlignment="1" pivotButton="0" quotePrefix="0" xfId="10">
      <alignment horizontal="center" wrapText="1"/>
    </xf>
    <xf numFmtId="164" fontId="16" fillId="15" borderId="1" applyAlignment="1" pivotButton="0" quotePrefix="0" xfId="10">
      <alignment vertical="center" wrapText="1"/>
    </xf>
    <xf numFmtId="164" fontId="16" fillId="15" borderId="1" applyAlignment="1" pivotButton="0" quotePrefix="0" xfId="10">
      <alignment horizontal="center" vertical="center" wrapText="1"/>
    </xf>
    <xf numFmtId="164" fontId="17" fillId="15" borderId="1" applyAlignment="1" pivotButton="0" quotePrefix="0" xfId="10">
      <alignment vertical="center" wrapText="1"/>
    </xf>
    <xf numFmtId="164" fontId="17" fillId="14" borderId="1" applyAlignment="1" pivotButton="0" quotePrefix="0" xfId="10">
      <alignment horizontal="center" vertical="center" wrapText="1"/>
    </xf>
    <xf numFmtId="164" fontId="36" fillId="0" borderId="1" applyAlignment="1" pivotButton="0" quotePrefix="0" xfId="10">
      <alignment horizontal="center" vertical="center"/>
    </xf>
    <xf numFmtId="164" fontId="16" fillId="13" borderId="4" applyAlignment="1" pivotButton="0" quotePrefix="0" xfId="10">
      <alignment horizontal="right" vertical="center" wrapText="1"/>
    </xf>
    <xf numFmtId="164" fontId="16" fillId="12" borderId="1" applyAlignment="1" pivotButton="0" quotePrefix="0" xfId="10">
      <alignment horizontal="center" vertical="center" wrapText="1"/>
    </xf>
    <xf numFmtId="164" fontId="37" fillId="12" borderId="1" applyAlignment="1" pivotButton="0" quotePrefix="0" xfId="10">
      <alignment horizontal="center" vertical="center"/>
    </xf>
    <xf numFmtId="164" fontId="5" fillId="3" borderId="1" applyAlignment="1" pivotButton="0" quotePrefix="0" xfId="10">
      <alignment horizontal="center" vertical="center"/>
    </xf>
    <xf numFmtId="164" fontId="38" fillId="5" borderId="1" applyAlignment="1" pivotButton="0" quotePrefix="0" xfId="10">
      <alignment horizontal="right" vertical="center" wrapText="1"/>
    </xf>
    <xf numFmtId="166" fontId="35" fillId="5" borderId="1" applyAlignment="1" pivotButton="0" quotePrefix="0" xfId="10">
      <alignment horizontal="center" vertical="center"/>
    </xf>
    <xf numFmtId="164" fontId="35" fillId="5" borderId="1" applyAlignment="1" pivotButton="0" quotePrefix="0" xfId="10">
      <alignment horizontal="center"/>
    </xf>
    <xf numFmtId="164" fontId="16" fillId="10" borderId="1" applyAlignment="1" pivotButton="0" quotePrefix="0" xfId="10">
      <alignment horizontal="center" wrapText="1"/>
    </xf>
    <xf numFmtId="164" fontId="17" fillId="3" borderId="1" applyAlignment="1" pivotButton="0" quotePrefix="0" xfId="10">
      <alignment horizontal="center" wrapText="1"/>
    </xf>
    <xf numFmtId="164" fontId="17" fillId="14" borderId="1" applyAlignment="1" pivotButton="0" quotePrefix="0" xfId="10">
      <alignment horizontal="center" wrapText="1"/>
    </xf>
    <xf numFmtId="164" fontId="17" fillId="12" borderId="1" applyAlignment="1" pivotButton="0" quotePrefix="0" xfId="10">
      <alignment horizontal="center" wrapText="1"/>
    </xf>
    <xf numFmtId="164" fontId="16" fillId="13" borderId="1" applyAlignment="1" pivotButton="0" quotePrefix="0" xfId="10">
      <alignment horizontal="center" vertical="center" wrapText="1"/>
    </xf>
    <xf numFmtId="164" fontId="16" fillId="13" borderId="1" applyAlignment="1" pivotButton="0" quotePrefix="0" xfId="10">
      <alignment horizontal="right" vertical="center" wrapText="1"/>
    </xf>
    <xf numFmtId="164" fontId="37" fillId="6" borderId="1" pivotButton="0" quotePrefix="0" xfId="10"/>
    <xf numFmtId="166" fontId="5" fillId="8" borderId="1" applyAlignment="1" pivotButton="0" quotePrefix="0" xfId="10">
      <alignment horizontal="center"/>
    </xf>
    <xf numFmtId="164" fontId="31" fillId="6" borderId="1" pivotButton="0" quotePrefix="0" xfId="10"/>
    <xf numFmtId="164" fontId="37" fillId="6" borderId="1" applyAlignment="1" pivotButton="0" quotePrefix="0" xfId="10">
      <alignment horizontal="left"/>
    </xf>
    <xf numFmtId="166" fontId="31" fillId="6" borderId="1" applyAlignment="1" pivotButton="0" quotePrefix="0" xfId="10">
      <alignment horizontal="center"/>
    </xf>
    <xf numFmtId="166" fontId="24" fillId="6" borderId="1" applyAlignment="1" pivotButton="0" quotePrefix="0" xfId="10">
      <alignment horizontal="center"/>
    </xf>
    <xf numFmtId="165" fontId="24" fillId="3" borderId="1" applyAlignment="1" applyProtection="1" pivotButton="0" quotePrefix="0" xfId="11">
      <alignment horizontal="center"/>
      <protection locked="0" hidden="0"/>
    </xf>
    <xf numFmtId="164" fontId="24" fillId="6" borderId="1" pivotButton="0" quotePrefix="0" xfId="10"/>
    <xf numFmtId="166" fontId="21" fillId="0" borderId="1" applyAlignment="1" pivotButton="0" quotePrefix="0" xfId="10">
      <alignment horizontal="center" vertical="center"/>
    </xf>
    <xf numFmtId="164" fontId="22" fillId="10" borderId="1" pivotButton="0" quotePrefix="0" xfId="10"/>
    <xf numFmtId="164" fontId="22" fillId="10" borderId="1" applyAlignment="1" pivotButton="0" quotePrefix="0" xfId="10">
      <alignment horizontal="center"/>
    </xf>
    <xf numFmtId="166" fontId="37" fillId="6" borderId="1" applyAlignment="1" pivotButton="0" quotePrefix="0" xfId="10">
      <alignment horizontal="center"/>
    </xf>
    <xf numFmtId="164" fontId="31" fillId="16" borderId="1" pivotButton="0" quotePrefix="0" xfId="10"/>
    <xf numFmtId="166" fontId="31" fillId="16" borderId="1" applyAlignment="1" pivotButton="0" quotePrefix="0" xfId="10">
      <alignment horizontal="center"/>
    </xf>
    <xf numFmtId="165" fontId="31" fillId="16" borderId="1" applyAlignment="1" pivotButton="0" quotePrefix="0" xfId="11">
      <alignment horizontal="center"/>
    </xf>
    <xf numFmtId="166" fontId="22" fillId="10" borderId="1" applyAlignment="1" pivotButton="0" quotePrefix="0" xfId="10">
      <alignment horizontal="center"/>
    </xf>
    <xf numFmtId="166" fontId="26" fillId="12" borderId="1" applyAlignment="1" pivotButton="0" quotePrefix="0" xfId="10">
      <alignment horizontal="center"/>
    </xf>
    <xf numFmtId="165" fontId="40" fillId="6" borderId="1" applyAlignment="1" pivotButton="0" quotePrefix="0" xfId="11">
      <alignment horizontal="center"/>
    </xf>
    <xf numFmtId="166" fontId="26" fillId="0" borderId="1" applyAlignment="1" pivotButton="0" quotePrefix="0" xfId="10">
      <alignment horizontal="center" vertical="center"/>
    </xf>
    <xf numFmtId="167" fontId="31" fillId="3" borderId="1" applyAlignment="1" applyProtection="1" pivotButton="0" quotePrefix="0" xfId="9">
      <alignment horizontal="center"/>
      <protection locked="0" hidden="0"/>
    </xf>
    <xf numFmtId="167" fontId="21" fillId="6" borderId="1" pivotButton="0" quotePrefix="0" xfId="10"/>
    <xf numFmtId="164" fontId="39" fillId="5" borderId="7" applyAlignment="1" pivotButton="0" quotePrefix="0" xfId="10">
      <alignment horizontal="center"/>
    </xf>
    <xf numFmtId="164" fontId="31" fillId="6" borderId="1" applyAlignment="1" pivotButton="0" quotePrefix="0" xfId="10">
      <alignment horizontal="center" vertical="center"/>
    </xf>
    <xf numFmtId="164" fontId="31" fillId="6" borderId="1" applyAlignment="1" pivotButton="0" quotePrefix="0" xfId="10">
      <alignment horizontal="center"/>
    </xf>
    <xf numFmtId="0" fontId="0" fillId="0" borderId="10" pivotButton="0" quotePrefix="0" xfId="0"/>
    <xf numFmtId="0" fontId="0" fillId="0" borderId="9" pivotButton="0" quotePrefix="0" xfId="0"/>
    <xf numFmtId="0" fontId="0" fillId="0" borderId="10" applyProtection="1" pivotButton="0" quotePrefix="0" xfId="0">
      <protection locked="0" hidden="0"/>
    </xf>
    <xf numFmtId="0" fontId="0" fillId="0" borderId="9" applyProtection="1" pivotButton="0" quotePrefix="0" xfId="0">
      <protection locked="0" hidden="0"/>
    </xf>
    <xf numFmtId="0" fontId="0" fillId="0" borderId="7" pivotButton="0" quotePrefix="0" xfId="0"/>
    <xf numFmtId="164" fontId="17" fillId="3" borderId="1" applyAlignment="1" applyProtection="1" pivotButton="0" quotePrefix="0" xfId="10">
      <alignment vertical="center" wrapText="1"/>
      <protection locked="0" hidden="0"/>
    </xf>
    <xf numFmtId="165" fontId="24" fillId="3" borderId="1" applyAlignment="1" applyProtection="1" pivotButton="0" quotePrefix="0" xfId="10">
      <alignment horizontal="center"/>
      <protection locked="0" hidden="0"/>
    </xf>
    <xf numFmtId="166" fontId="5" fillId="6" borderId="1" applyAlignment="1" pivotButton="0" quotePrefix="0" xfId="10">
      <alignment horizontal="center"/>
    </xf>
    <xf numFmtId="166" fontId="25" fillId="6" borderId="1" applyAlignment="1" pivotButton="0" quotePrefix="0" xfId="10">
      <alignment horizontal="center"/>
    </xf>
    <xf numFmtId="166" fontId="21" fillId="6" borderId="1" applyAlignment="1" pivotButton="0" quotePrefix="0" xfId="10">
      <alignment horizontal="center"/>
    </xf>
    <xf numFmtId="167" fontId="24" fillId="3" borderId="1" applyAlignment="1" applyProtection="1" pivotButton="0" quotePrefix="0" xfId="9">
      <alignment horizontal="center"/>
      <protection locked="0" hidden="0"/>
    </xf>
    <xf numFmtId="167" fontId="24" fillId="6" borderId="1" applyAlignment="1" pivotButton="0" quotePrefix="0" xfId="9">
      <alignment horizontal="center"/>
    </xf>
    <xf numFmtId="167" fontId="24" fillId="6" borderId="1" applyAlignment="1" pivotButton="0" quotePrefix="0" xfId="10">
      <alignment horizontal="center"/>
    </xf>
    <xf numFmtId="167" fontId="26" fillId="6" borderId="1" pivotButton="0" quotePrefix="0" xfId="10"/>
    <xf numFmtId="167" fontId="24" fillId="6" borderId="1" pivotButton="0" quotePrefix="0" xfId="10"/>
    <xf numFmtId="166" fontId="22" fillId="5" borderId="1" applyAlignment="1" pivotButton="0" quotePrefix="0" xfId="10">
      <alignment horizontal="center"/>
    </xf>
    <xf numFmtId="166" fontId="28" fillId="10" borderId="7" applyAlignment="1" pivotButton="0" quotePrefix="0" xfId="10">
      <alignment horizontal="center"/>
    </xf>
    <xf numFmtId="166" fontId="28" fillId="10" borderId="1" applyAlignment="1" pivotButton="0" quotePrefix="0" xfId="10">
      <alignment horizontal="center"/>
    </xf>
    <xf numFmtId="164" fontId="29" fillId="3" borderId="1" applyAlignment="1" applyProtection="1" pivotButton="0" quotePrefix="0" xfId="10">
      <alignment horizontal="left" vertical="center" wrapText="1"/>
      <protection locked="0" hidden="0"/>
    </xf>
    <xf numFmtId="174" fontId="29" fillId="9" borderId="1" applyAlignment="1" applyProtection="1" pivotButton="0" quotePrefix="0" xfId="10">
      <alignment horizontal="center"/>
      <protection locked="0" hidden="0"/>
    </xf>
    <xf numFmtId="170" fontId="29" fillId="9" borderId="1" applyAlignment="1" applyProtection="1" pivotButton="0" quotePrefix="0" xfId="8">
      <alignment horizontal="center" vertical="center"/>
      <protection locked="0" hidden="0"/>
    </xf>
    <xf numFmtId="168" fontId="29" fillId="9" borderId="1" applyAlignment="1" applyProtection="1" pivotButton="0" quotePrefix="0" xfId="10">
      <alignment horizontal="center"/>
      <protection locked="0" hidden="0"/>
    </xf>
    <xf numFmtId="170" fontId="29" fillId="11" borderId="1" applyAlignment="1" applyProtection="1" pivotButton="0" quotePrefix="0" xfId="8">
      <alignment horizontal="center" vertical="center"/>
      <protection locked="0" hidden="0"/>
    </xf>
    <xf numFmtId="169" fontId="24" fillId="0" borderId="8" pivotButton="0" quotePrefix="0" xfId="10"/>
    <xf numFmtId="169" fontId="24" fillId="0" borderId="8" applyAlignment="1" pivotButton="0" quotePrefix="0" xfId="10">
      <alignment horizontal="center" vertical="center"/>
    </xf>
    <xf numFmtId="0" fontId="0" fillId="0" borderId="12" pivotButton="0" quotePrefix="0" xfId="0"/>
    <xf numFmtId="166" fontId="32" fillId="3" borderId="1" applyAlignment="1" pivotButton="0" quotePrefix="0" xfId="10">
      <alignment horizontal="center" vertical="center" wrapText="1"/>
    </xf>
    <xf numFmtId="166" fontId="32" fillId="3" borderId="1" applyAlignment="1" pivotButton="0" quotePrefix="0" xfId="10">
      <alignment horizontal="left" vertical="top" wrapText="1"/>
    </xf>
    <xf numFmtId="174" fontId="32" fillId="14" borderId="1" applyAlignment="1" pivotButton="0" quotePrefix="0" xfId="10">
      <alignment horizontal="center" vertical="center" wrapText="1"/>
    </xf>
    <xf numFmtId="164" fontId="17" fillId="3" borderId="1" applyAlignment="1" pivotButton="0" quotePrefix="0" xfId="10">
      <alignment horizontal="center" vertical="center" wrapText="1"/>
    </xf>
    <xf numFmtId="0" fontId="0" fillId="0" borderId="0" applyAlignment="1" pivotButton="0" quotePrefix="0" xfId="0">
      <alignment vertical="center" wrapText="1"/>
    </xf>
    <xf numFmtId="166" fontId="35" fillId="5" borderId="1" applyAlignment="1" pivotButton="0" quotePrefix="0" xfId="10">
      <alignment horizontal="center" vertical="center"/>
    </xf>
    <xf numFmtId="166" fontId="5" fillId="8" borderId="1" applyAlignment="1" pivotButton="0" quotePrefix="0" xfId="10">
      <alignment horizontal="center"/>
    </xf>
    <xf numFmtId="0" fontId="0" fillId="0" borderId="5" pivotButton="0" quotePrefix="0" xfId="0"/>
    <xf numFmtId="166" fontId="31" fillId="6" borderId="1" applyAlignment="1" pivotButton="0" quotePrefix="0" xfId="10">
      <alignment horizontal="center"/>
    </xf>
    <xf numFmtId="166" fontId="24" fillId="6" borderId="1" applyAlignment="1" pivotButton="0" quotePrefix="0" xfId="10">
      <alignment horizontal="center"/>
    </xf>
    <xf numFmtId="165" fontId="24" fillId="3" borderId="1" applyAlignment="1" applyProtection="1" pivotButton="0" quotePrefix="0" xfId="11">
      <alignment horizontal="center"/>
      <protection locked="0" hidden="0"/>
    </xf>
    <xf numFmtId="166" fontId="21" fillId="0" borderId="1" applyAlignment="1" pivotButton="0" quotePrefix="0" xfId="10">
      <alignment horizontal="center" vertical="center"/>
    </xf>
    <xf numFmtId="166" fontId="37" fillId="6" borderId="1" applyAlignment="1" pivotButton="0" quotePrefix="0" xfId="10">
      <alignment horizontal="center"/>
    </xf>
    <xf numFmtId="166" fontId="31" fillId="16" borderId="1" applyAlignment="1" pivotButton="0" quotePrefix="0" xfId="10">
      <alignment horizontal="center"/>
    </xf>
    <xf numFmtId="165" fontId="31" fillId="16" borderId="1" applyAlignment="1" pivotButton="0" quotePrefix="0" xfId="11">
      <alignment horizontal="center"/>
    </xf>
    <xf numFmtId="166" fontId="22" fillId="10" borderId="1" applyAlignment="1" pivotButton="0" quotePrefix="0" xfId="10">
      <alignment horizontal="center"/>
    </xf>
    <xf numFmtId="166" fontId="26" fillId="12" borderId="1" applyAlignment="1" pivotButton="0" quotePrefix="0" xfId="10">
      <alignment horizontal="center"/>
    </xf>
    <xf numFmtId="165" fontId="40" fillId="6" borderId="1" applyAlignment="1" pivotButton="0" quotePrefix="0" xfId="11">
      <alignment horizontal="center"/>
    </xf>
    <xf numFmtId="166" fontId="26" fillId="0" borderId="1" applyAlignment="1" pivotButton="0" quotePrefix="0" xfId="10">
      <alignment horizontal="center" vertical="center"/>
    </xf>
    <xf numFmtId="167" fontId="31" fillId="3" borderId="1" applyAlignment="1" applyProtection="1" pivotButton="0" quotePrefix="0" xfId="9">
      <alignment horizontal="center"/>
      <protection locked="0" hidden="0"/>
    </xf>
    <xf numFmtId="167" fontId="21" fillId="6" borderId="1" pivotButton="0" quotePrefix="0" xfId="10"/>
  </cellXfs>
  <cellStyles count="16">
    <cellStyle name="Normal" xfId="0" builtinId="0"/>
    <cellStyle name="cf1" xfId="1"/>
    <cellStyle name="cf2" xfId="2"/>
    <cellStyle name="cf3" xfId="3"/>
    <cellStyle name="cf4" xfId="4"/>
    <cellStyle name="cf5" xfId="5"/>
    <cellStyle name="cf6" xfId="6"/>
    <cellStyle name="ConditionalStyle_1" xfId="7"/>
    <cellStyle name="Excel Built-in Comma" xfId="8"/>
    <cellStyle name="Excel Built-in Currency" xfId="9"/>
    <cellStyle name="Excel Built-in Normal" xfId="10"/>
    <cellStyle name="Excel Built-in Percent" xfId="11"/>
    <cellStyle name="Heading" xfId="12"/>
    <cellStyle name="Heading1" xfId="13"/>
    <cellStyle name="Result" xfId="14"/>
    <cellStyle name="Result2" xfId="15"/>
  </cellStyles>
  <dxfs count="20">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family val="2"/>
        <color rgb="FF666699"/>
      </font>
    </dxf>
    <dxf>
      <font>
        <family val="2"/>
        <color rgb="FF666699"/>
      </font>
    </dxf>
    <dxf>
      <font>
        <family val="2"/>
        <color rgb="FF666699"/>
      </font>
    </dxf>
    <dxf>
      <font>
        <family val="2"/>
        <b val="1"/>
      </font>
    </dxf>
    <dxf>
      <font>
        <family val="2"/>
        <b val="1"/>
      </font>
    </dxf>
    <dxf>
      <font>
        <family val="2"/>
        <b val="1"/>
      </font>
    </dxf>
    <dxf>
      <font>
        <family val="2"/>
        <color rgb="FFFFFFFF"/>
      </font>
    </dxf>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family val="2"/>
        <b val="1"/>
      </font>
    </dxf>
    <dxf>
      <font>
        <family val="2"/>
        <color rgb="FF666699"/>
      </font>
    </dxf>
    <dxf>
      <font>
        <family val="2"/>
        <b val="1"/>
      </font>
    </dxf>
    <dxf>
      <font>
        <family val="2"/>
        <color rgb="FF666699"/>
      </font>
    </dxf>
    <dxf>
      <font>
        <family val="2"/>
        <color rgb="FFFFFFFF"/>
      </font>
    </dxf>
    <dxf>
      <font>
        <family val="2"/>
        <b val="1"/>
      </font>
    </dxf>
    <dxf>
      <font>
        <family val="2"/>
        <color rgb="FF666699"/>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EM</author>
  </authors>
  <commentList>
    <comment ref="A2" authorId="0" shapeId="0">
      <text>
        <t>Preencher as células em amarelo.</t>
      </text>
    </comment>
  </commentList>
</comments>
</file>

<file path=xl/comments/comment2.xml><?xml version="1.0" encoding="utf-8"?>
<comments xmlns="http://schemas.openxmlformats.org/spreadsheetml/2006/main">
  <authors>
    <author>EM</author>
  </authors>
  <commentList>
    <comment ref="A3" authorId="0" shapeId="0">
      <text>
        <t xml:space="preserve">O identificador da trefa auxilia na criação e uso dos "Post-it" dos quadros Kanban ou Scrum.
</t>
      </text>
    </comment>
    <comment ref="B3" authorId="0" shapeId="0">
      <text>
        <t>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text>
    </comment>
    <comment ref="C3" authorId="0" shapeId="0">
      <text>
        <t>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ref="D3" authorId="0" shapeId="0">
      <text>
        <t xml:space="preserve">Resultado do Planning Poker, convertido para horas.
</t>
      </text>
    </comment>
    <comment ref="F3" authorId="0" shapeId="0">
      <text>
        <t xml:space="preserve">O identificador da trefa auxilia na criação e uso dos "Post-it" dos quadros Kanban ou Scrum.
</t>
      </text>
    </comment>
    <comment ref="G3" authorId="0" shapeId="0">
      <text>
        <t>Tarefas
. Uma tarefa corresponde a uma Tarefa (Task) do processo.
. Pode ser também o detalhamento dos fluxos de um Caso de Uso (CRUD)
. Pode ainda ser uma História de Usuário
Quebrar os casos de uso em tarefas menores facilita a distribuição de trabalho aos membros do time.</t>
      </text>
    </comment>
    <comment ref="H4" authorId="0" shapeId="0">
      <text>
        <t xml:space="preserve">Pontue de 0 a 10.
V = Valor: Quanto de valor a história de usuário representa para o usuário final?
</t>
      </text>
    </comment>
    <comment ref="I4" authorId="0" shapeId="0">
      <text>
        <t>Pontue de 0 a 10.
R = Risco: Qual é o risco desta história não ser entregue?</t>
      </text>
    </comment>
    <comment ref="J4" authorId="0" shapeId="0">
      <text>
        <t>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text>
    </comment>
    <comment ref="K4" authorId="0" shapeId="0">
      <text>
        <t>Pontue de 0 a 10.
C = Complexidade Técnica: Qual a complexidade técnica (tecnologia) da história?</t>
      </text>
    </comment>
    <comment ref="L4" authorId="0" shapeId="0">
      <text>
        <t xml:space="preserve">Tem prioridade as de maior peso.
</t>
      </text>
    </comment>
  </commentList>
</comments>
</file>

<file path=xl/comments/comment3.xml><?xml version="1.0" encoding="utf-8"?>
<comments xmlns="http://schemas.openxmlformats.org/spreadsheetml/2006/main">
  <authors>
    <author>EM</author>
  </authors>
  <commentList>
    <comment ref="A3" authorId="0" shapeId="0">
      <text>
        <t>Considerando a estimativa e capacidade da equipe sugere-se o seguinte plajenamento.</t>
      </text>
    </comment>
    <comment ref="B4" authorId="0" shapeId="0">
      <text>
        <t>[Comentário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text>
    </comment>
    <comment ref="E5" authorId="0" shapeId="0">
      <text>
        <t>As Sprints devem ser criadas no GitHub</t>
      </text>
    </comment>
  </commentList>
</comments>
</file>

<file path=xl/comments/comment4.xml><?xml version="1.0" encoding="utf-8"?>
<comments xmlns="http://schemas.openxmlformats.org/spreadsheetml/2006/main">
  <authors>
    <author>EM</author>
  </authors>
  <commentList>
    <comment ref="B48" authorId="0" shapeId="0">
      <text>
        <t>Descrição do Risco
Sentença que descreve o risco, definindo o evento que, ao ocorrer, causa impacto no projeto.</t>
      </text>
    </comment>
    <comment ref="C48" authorId="0" shapeId="0">
      <text>
        <t xml:space="preserve">Data:
Data da identificação do risco ou da alteração de seus atributos durante o monitoramento e controle de riscos.
</t>
      </text>
    </comment>
    <comment ref="D48" authorId="0" shapeId="0">
      <text>
        <t xml:space="preserve">Probabilidade de Ocorrência: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
</t>
      </text>
    </comment>
    <comment ref="E48" authorId="0" shapeId="0">
      <text>
        <t xml:space="preserve">Impacto do Risco: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
</t>
      </text>
    </comment>
    <comment ref="F48" authorId="0" shapeId="0">
      <text>
        <t xml:space="preserve">Perda Esperada do RIsco: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
</t>
      </text>
    </comment>
    <comment ref="G48" authorId="0" shapeId="0">
      <text>
        <t xml:space="preserve">Situação do Risco: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
</t>
      </text>
    </comment>
    <comment ref="H48" authorId="0" shapeId="0">
      <text>
        <t xml:space="preserve">Gatilhos do Risco: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
</t>
      </text>
    </comment>
    <comment ref="J49" authorId="0" shapeId="0">
      <text>
        <t xml:space="preserve">Plano de Mitigação do Risco:
Planejamento de ações que busquem reduzir a probabilidade e/ou o impacto da ocorrência do risco
</t>
      </text>
    </comment>
    <comment ref="K49" authorId="0" shapeId="0">
      <text>
        <t xml:space="preserve">Plano de Contingência do Risco:
Estratégia de reação aos efeitos do risco, caso este venha a ocorrer.
</t>
      </text>
    </comment>
  </commentList>
</comments>
</file>

<file path=xl/comments/comment5.xml><?xml version="1.0" encoding="utf-8"?>
<comments xmlns="http://schemas.openxmlformats.org/spreadsheetml/2006/main">
  <authors>
    <author>EM</author>
  </authors>
  <commentList>
    <comment ref="A7" authorId="0" shapeId="0">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ref="D7" authorId="0" shapeId="0">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ref="G7" authorId="0" shapeId="0">
      <text>
        <t xml:space="preserve">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
</t>
      </text>
    </comment>
    <comment ref="M7" authorId="0" shapeId="0">
      <text>
        <t xml:space="preserve">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
</t>
      </text>
    </comment>
    <comment ref="N8" authorId="0" shapeId="0">
      <text>
        <t>Grau de Influência
0 (nenhuma influência)
5 (forte influência)</t>
      </text>
    </comment>
    <comment ref="G9" authorId="0" shapeId="0">
      <text>
        <t xml:space="preserve">Arquivo Lógico Interno (ALI)
São arquivos/tabelas mantidas dentro da fronteira da aplicação, isto é, armazena dados mantidos através de um ou mais processos elementares da aplicação.
</t>
      </text>
    </comment>
    <comment ref="M9" authorId="0" shapeId="0">
      <text>
        <t xml:space="preserve">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
</t>
      </text>
    </comment>
    <comment ref="G10" authorId="0" shapeId="0">
      <text>
        <t xml:space="preserve">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
</t>
      </text>
    </comment>
    <comment ref="M10" authorId="0" shapeId="0">
      <text>
        <t xml:space="preserve">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
</t>
      </text>
    </comment>
    <comment ref="G11" authorId="0" shapeId="0">
      <text>
        <t xml:space="preserve">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
</t>
      </text>
    </comment>
    <comment ref="M11" authorId="0" shapeId="0">
      <text>
        <t>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text>
    </comment>
    <comment ref="G12" authorId="0" shapeId="0">
      <text>
        <t>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text>
    </comment>
    <comment ref="M12" authorId="0" shapeId="0">
      <text>
        <t xml:space="preserve">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
</t>
      </text>
    </comment>
    <comment ref="G13" authorId="0" shapeId="0">
      <text>
        <t xml:space="preserve">Entradas Externas (EEs)
São processos elementares que processam dados (ou
informações de controle) que entram pela fronteira da aplicação. O objetivo principal de uma EE é manter um ou mais ALIs ou alterar o comportamento do sistema.
</t>
      </text>
    </comment>
    <comment ref="M13" authorId="0" shapeId="0">
      <text>
        <t xml:space="preserve">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
</t>
      </text>
    </comment>
    <comment ref="G14" authorId="0" shapeId="0">
      <text>
        <t xml:space="preserve">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
</t>
      </text>
    </comment>
    <comment ref="M14" authorId="0" shapeId="0">
      <text>
        <t xml:space="preserve">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
</t>
      </text>
    </comment>
    <comment ref="G15" authorId="0" shapeId="0">
      <text>
        <t xml:space="preserve">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
</t>
      </text>
    </comment>
    <comment ref="M15" authorId="0" shapeId="0">
      <text>
        <t xml:space="preserve">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
</t>
      </text>
    </comment>
    <comment ref="M16" authorId="0" shapeId="0">
      <text>
        <t xml:space="preserve">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
</t>
      </text>
    </comment>
    <comment ref="M17" authorId="0" shapeId="0">
      <text>
        <t xml:space="preserve">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
</t>
      </text>
    </comment>
    <comment ref="M18" authorId="0" shapeId="0">
      <text>
        <t xml:space="preserve">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
</t>
      </text>
    </comment>
    <comment ref="M19" authorId="0" shapeId="0">
      <text>
        <t xml:space="preserve">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
</t>
      </text>
    </comment>
    <comment ref="M20" authorId="0" shapeId="0">
      <text>
        <t xml:space="preserve">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
</t>
      </text>
    </comment>
    <comment ref="M21" authorId="0" shapeId="0">
      <text>
        <t xml:space="preserve">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
</t>
      </text>
    </comment>
    <comment ref="M22" authorId="0" shapeId="0">
      <text>
        <t xml:space="preserve">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
</t>
      </text>
    </comment>
  </commentList>
</comments>
</file>

<file path=xl/comments/comment6.xml><?xml version="1.0" encoding="utf-8"?>
<comments xmlns="http://schemas.openxmlformats.org/spreadsheetml/2006/main">
  <authors>
    <author>EM</author>
  </authors>
  <commentList>
    <comment ref="A3" authorId="0" shapeId="0">
      <text>
        <t>Considerando a estimativa e capacidade da equipe sugere-se o seguinte plajenamento.</t>
      </text>
    </comment>
  </commentList>
</comment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C17"/>
  <sheetViews>
    <sheetView tabSelected="1" workbookViewId="0">
      <selection activeCell="A1" sqref="A1:C1"/>
    </sheetView>
  </sheetViews>
  <sheetFormatPr baseColWidth="8" defaultRowHeight="14.1"/>
  <cols>
    <col width="21.625" customWidth="1" style="1" min="1" max="1"/>
    <col width="44.75" customWidth="1" style="1" min="2" max="2"/>
    <col width="29.5" customWidth="1" style="1" min="3" max="3"/>
    <col width="8.125" customWidth="1" style="1" min="4" max="1024"/>
    <col width="9" customWidth="1" min="1025" max="1025"/>
  </cols>
  <sheetData>
    <row r="1" ht="20.25" customHeight="1">
      <c r="A1" s="4" t="inlineStr">
        <is>
          <t>Equipe</t>
        </is>
      </c>
      <c r="B1" s="166" t="n"/>
      <c r="C1" s="167" t="n"/>
    </row>
    <row r="2" ht="25.5" customHeight="1">
      <c r="A2" s="5" t="inlineStr">
        <is>
          <t>CARREGAJA - Sistema de Controle e Rateio de Recarga de Veículos Elétricos em Condomínio</t>
        </is>
      </c>
      <c r="B2" s="168" t="n"/>
      <c r="C2" s="169" t="n"/>
    </row>
    <row r="3" ht="15" customHeight="1">
      <c r="A3" s="2" t="inlineStr">
        <is>
          <t>Papel</t>
        </is>
      </c>
      <c r="B3" s="2" t="inlineStr">
        <is>
          <t>Nome</t>
        </is>
      </c>
      <c r="C3" s="2" t="inlineStr">
        <is>
          <t>E-mail</t>
        </is>
      </c>
    </row>
    <row r="4" ht="15" customHeight="1">
      <c r="A4" s="3" t="inlineStr">
        <is>
          <t>Scrum Master</t>
        </is>
      </c>
      <c r="B4" s="3" t="inlineStr">
        <is>
          <t>Henrique de Almeida Marangoni Inacio</t>
        </is>
      </c>
      <c r="C4" s="3" t="inlineStr">
        <is>
          <t>henrique.marangoni@aluno.ifsp.edu.br</t>
        </is>
      </c>
    </row>
    <row r="5" ht="15" customHeight="1">
      <c r="A5" s="3" t="inlineStr">
        <is>
          <t>Owner</t>
        </is>
      </c>
      <c r="B5" s="3" t="inlineStr">
        <is>
          <t>Matheus Ribeiro Andrade</t>
        </is>
      </c>
      <c r="C5" s="3" t="inlineStr">
        <is>
          <t>ribeiro.andrade@aluno.ifsp.edu.br</t>
        </is>
      </c>
    </row>
    <row r="6" ht="15" customHeight="1">
      <c r="A6" s="3" t="inlineStr">
        <is>
          <t>Desenvolvedor</t>
        </is>
      </c>
      <c r="B6" s="3" t="inlineStr">
        <is>
          <t>André Fernandes Nascimento Moreira</t>
        </is>
      </c>
      <c r="C6" s="3" t="inlineStr">
        <is>
          <t>andre.moreira@aluno.ifsp.edu.br</t>
        </is>
      </c>
    </row>
    <row r="7" ht="15" customHeight="1">
      <c r="A7" s="3" t="inlineStr">
        <is>
          <t>Desenvolvedor</t>
        </is>
      </c>
      <c r="B7" s="3" t="inlineStr">
        <is>
          <t>Alex Junior Fortunato Sacramento</t>
        </is>
      </c>
      <c r="C7" s="3" t="inlineStr">
        <is>
          <t>alex.sacramento@aluno.ifsp.edu.br</t>
        </is>
      </c>
    </row>
    <row r="8" ht="15" customHeight="1">
      <c r="A8" s="3" t="n"/>
      <c r="B8" s="3" t="n"/>
      <c r="C8" s="3" t="n"/>
    </row>
    <row r="9" ht="15" customHeight="1">
      <c r="A9" s="3" t="n"/>
      <c r="B9" s="3" t="n"/>
      <c r="C9" s="3" t="n"/>
    </row>
    <row r="10" ht="15" customHeight="1">
      <c r="A10" s="3" t="n"/>
      <c r="B10" s="3" t="n"/>
      <c r="C10" s="3" t="n"/>
    </row>
    <row r="11" ht="15" customHeight="1">
      <c r="A11" s="3" t="n"/>
      <c r="B11" s="3" t="n"/>
      <c r="C11" s="3" t="n"/>
    </row>
    <row r="12" ht="15" customHeight="1">
      <c r="A12" s="3" t="n"/>
      <c r="B12" s="3" t="n"/>
      <c r="C12" s="3" t="n"/>
    </row>
    <row r="13" ht="15" customHeight="1">
      <c r="A13" s="3" t="n"/>
      <c r="B13" s="3" t="n"/>
      <c r="C13" s="3" t="n"/>
    </row>
    <row r="14" ht="15" customHeight="1">
      <c r="A14" s="3" t="n"/>
      <c r="B14" s="3" t="n"/>
      <c r="C14" s="3" t="n"/>
    </row>
    <row r="15" ht="15" customHeight="1">
      <c r="A15" s="3" t="n"/>
      <c r="B15" s="3" t="n"/>
      <c r="C15" s="3" t="n"/>
    </row>
    <row r="16" ht="15" customHeight="1">
      <c r="A16" s="3" t="n"/>
      <c r="B16" s="3" t="n"/>
      <c r="C16" s="3" t="n"/>
    </row>
    <row r="17" ht="15" customHeight="1">
      <c r="A17" s="3" t="n"/>
      <c r="B17" s="3" t="n"/>
      <c r="C17" s="3" t="n"/>
    </row>
  </sheetData>
  <mergeCells count="2">
    <mergeCell ref="A1:C1"/>
    <mergeCell ref="A2:C2"/>
  </mergeCells>
  <pageMargins left="0.511811023622047" right="0.511811023622047" top="1.181102362204725" bottom="1.181102362204725" header="0.78740157480315" footer="0.78740157480315"/>
  <pageSetup orientation="portrait" paperSize="0" fitToHeight="0" fitToWidth="0" horizontalDpi="0" verticalDpi="0" copies="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L53"/>
  <sheetViews>
    <sheetView workbookViewId="0">
      <selection activeCell="A1" sqref="A1"/>
    </sheetView>
  </sheetViews>
  <sheetFormatPr baseColWidth="8" defaultRowHeight="14.1"/>
  <cols>
    <col width="10.25" customWidth="1" style="25" min="1" max="1"/>
    <col width="11.625" customWidth="1" style="6" min="2" max="2"/>
    <col width="64.25" customWidth="1" style="6" min="3" max="3"/>
    <col width="8.75" customWidth="1" style="23" min="4" max="4"/>
    <col width="1.625" customWidth="1" style="6" min="5" max="5"/>
    <col width="4.25" customWidth="1" style="6" min="6" max="6"/>
    <col width="18.875" customWidth="1" style="6" min="7" max="7"/>
    <col width="8.5" customWidth="1" style="6" min="8" max="9"/>
    <col width="10.75" customWidth="1" style="6" min="10" max="10"/>
    <col width="11.875" customWidth="1" style="6" min="11" max="11"/>
    <col width="8.5" customWidth="1" style="6" min="12" max="1024"/>
    <col width="9" customWidth="1" min="1025" max="1025"/>
  </cols>
  <sheetData>
    <row r="1" ht="12" customHeight="1">
      <c r="A1" s="27" t="inlineStr">
        <is>
          <t>Backlog do Produto</t>
        </is>
      </c>
      <c r="F1" s="28" t="inlineStr">
        <is>
          <t>Priorização VRDC</t>
        </is>
      </c>
      <c r="G1" s="170" t="n"/>
      <c r="H1" s="170" t="n"/>
      <c r="I1" s="170" t="n"/>
      <c r="J1" s="170" t="n"/>
      <c r="K1" s="170" t="n"/>
      <c r="L1" s="170" t="n"/>
    </row>
    <row r="2" ht="42" customHeight="1">
      <c r="A2" s="29" t="inlineStr">
        <is>
          <t>Este Backlog é uma sugestão de tarefas baseado nas tarefas do SpinOff , mas pode ser complementado com outras tarefas que forem necessárias para a execução do projeto.
Desse modo, basta inserir os casos de uso/histórias específicos do projeto.</t>
        </is>
      </c>
      <c r="B2" s="170" t="n"/>
      <c r="C2" s="170" t="n"/>
      <c r="D2" s="170" t="n"/>
      <c r="F2" s="30" t="inlineStr">
        <is>
          <t>A priorização é importante para saber o que entregar primeiro ou desenvolver primeiro. O Owner ou o próprio cliente são importantes nessa decisão. Isso vai ajudar a planejar os Sprints.</t>
        </is>
      </c>
      <c r="G2" s="166" t="n"/>
      <c r="H2" s="166" t="n"/>
      <c r="I2" s="166" t="n"/>
      <c r="J2" s="166" t="n"/>
      <c r="K2" s="166" t="n"/>
      <c r="L2" s="166" t="n"/>
    </row>
    <row r="3" ht="24" customHeight="1">
      <c r="A3" s="31" t="inlineStr">
        <is>
          <t>Id</t>
        </is>
      </c>
      <c r="B3" s="31" t="inlineStr">
        <is>
          <t>Fases</t>
        </is>
      </c>
      <c r="C3" s="31" t="inlineStr">
        <is>
          <t>Tarefas (Casos de Uso/Histórias de Usuário/Tarefas do Processo/Outras Tarefas)</t>
        </is>
      </c>
      <c r="D3" s="31" t="inlineStr">
        <is>
          <t>Estimativa</t>
        </is>
      </c>
      <c r="F3" s="31" t="inlineStr">
        <is>
          <t>Id</t>
        </is>
      </c>
      <c r="G3" s="8" t="inlineStr">
        <is>
          <t>Casos de Uso ou Histórias de Usuário</t>
        </is>
      </c>
      <c r="H3" s="31" t="inlineStr">
        <is>
          <t>Priorização VRDC</t>
        </is>
      </c>
      <c r="I3" s="166" t="n"/>
      <c r="J3" s="166" t="n"/>
      <c r="K3" s="166" t="n"/>
      <c r="L3" s="167" t="n"/>
    </row>
    <row r="4" ht="24" customHeight="1">
      <c r="A4" s="32" t="inlineStr">
        <is>
          <t>Iniciação</t>
        </is>
      </c>
      <c r="B4" s="168" t="n"/>
      <c r="C4" s="169" t="n"/>
      <c r="D4" s="10" t="inlineStr">
        <is>
          <t>Horas</t>
        </is>
      </c>
      <c r="F4" s="11" t="inlineStr">
        <is>
          <t>Seq.</t>
        </is>
      </c>
      <c r="G4" s="11" t="inlineStr">
        <is>
          <t>Descrição</t>
        </is>
      </c>
      <c r="H4" s="10" t="inlineStr">
        <is>
          <t>Valor</t>
        </is>
      </c>
      <c r="I4" s="10" t="inlineStr">
        <is>
          <t>Risco</t>
        </is>
      </c>
      <c r="J4" s="10" t="inlineStr">
        <is>
          <t>Dependência</t>
        </is>
      </c>
      <c r="K4" s="32" t="inlineStr">
        <is>
          <t>Complexidade Técnica</t>
        </is>
      </c>
      <c r="L4" s="10" t="inlineStr">
        <is>
          <t>Prioridade</t>
        </is>
      </c>
    </row>
    <row r="5" ht="30.3" customHeight="1">
      <c r="A5" s="12" t="n">
        <v>1</v>
      </c>
      <c r="B5" s="13" t="inlineStr">
        <is>
          <t>Iniciação</t>
        </is>
      </c>
      <c r="C5" s="171" t="inlineStr">
        <is>
          <t>Realizar o pré-projeto (definição do tema, formação da equipe e dos papéis)</t>
        </is>
      </c>
      <c r="D5" s="15" t="n">
        <v>8</v>
      </c>
      <c r="F5" s="16" t="n">
        <v>1</v>
      </c>
      <c r="G5" s="171" t="inlineStr">
        <is>
          <t>UC01 — Autenticar Usuário</t>
        </is>
      </c>
      <c r="H5" s="17" t="n">
        <v>6</v>
      </c>
      <c r="I5" s="17" t="n">
        <v>8</v>
      </c>
      <c r="J5" s="17" t="n">
        <v>10</v>
      </c>
      <c r="K5" s="17" t="n">
        <v>3</v>
      </c>
      <c r="L5" s="18">
        <f>SUM(H5:K5)</f>
        <v/>
      </c>
    </row>
    <row r="6" ht="30.3" customHeight="1">
      <c r="A6" s="12" t="n">
        <v>2</v>
      </c>
      <c r="B6" s="13" t="inlineStr">
        <is>
          <t>Iniciação</t>
        </is>
      </c>
      <c r="C6" s="171" t="inlineStr">
        <is>
          <t>Criar ambiente do projeto (repositório, estrutura SpinOff, submódulo, templates de issue/PR)</t>
        </is>
      </c>
      <c r="D6" s="15" t="n">
        <v>10</v>
      </c>
      <c r="F6" s="16" t="n">
        <v>2</v>
      </c>
      <c r="G6" s="171" t="inlineStr">
        <is>
          <t>UC11 — Manter Moradores</t>
        </is>
      </c>
      <c r="H6" s="17" t="n">
        <v>7</v>
      </c>
      <c r="I6" s="17" t="n">
        <v>8</v>
      </c>
      <c r="J6" s="17" t="n">
        <v>10</v>
      </c>
      <c r="K6" s="17" t="n">
        <v>3</v>
      </c>
      <c r="L6" s="18">
        <f>SUM(H6:K6)</f>
        <v/>
      </c>
    </row>
    <row r="7" ht="30.3" customHeight="1">
      <c r="A7" s="12" t="n">
        <v>3</v>
      </c>
      <c r="B7" s="13" t="inlineStr">
        <is>
          <t>Iniciação</t>
        </is>
      </c>
      <c r="C7" s="171" t="inlineStr">
        <is>
          <t>Definir o Escopo do Sistema (Visão, Modelo de Caso de Uso e Glossário — 3 revisões)</t>
        </is>
      </c>
      <c r="D7" s="15" t="n">
        <v>40</v>
      </c>
      <c r="F7" s="16" t="n">
        <v>3</v>
      </c>
      <c r="G7" s="171" t="inlineStr">
        <is>
          <t>UC09 — Manter Vagas com Carregador</t>
        </is>
      </c>
      <c r="H7" s="17" t="n">
        <v>7</v>
      </c>
      <c r="I7" s="17" t="n">
        <v>8</v>
      </c>
      <c r="J7" s="17" t="n">
        <v>10</v>
      </c>
      <c r="K7" s="17" t="n">
        <v>3</v>
      </c>
      <c r="L7" s="18">
        <f>SUM(H7:K7)</f>
        <v/>
      </c>
    </row>
    <row r="8" ht="30.3" customHeight="1">
      <c r="A8" s="12" t="n">
        <v>4</v>
      </c>
      <c r="B8" s="13" t="inlineStr">
        <is>
          <t>Iniciação</t>
        </is>
      </c>
      <c r="C8" s="171" t="inlineStr">
        <is>
          <t>Detalhar Requisitos — História de Usuário HU-01 a HU-14 (antecipado da Elaboração)</t>
        </is>
      </c>
      <c r="D8" s="15" t="n">
        <v>32</v>
      </c>
      <c r="F8" s="16" t="n">
        <v>4</v>
      </c>
      <c r="G8" s="171" t="inlineStr">
        <is>
          <t>UC10 — Definir Tarifa de Energia</t>
        </is>
      </c>
      <c r="H8" s="17" t="n">
        <v>8</v>
      </c>
      <c r="I8" s="17" t="n">
        <v>8</v>
      </c>
      <c r="J8" s="17" t="n">
        <v>10</v>
      </c>
      <c r="K8" s="17" t="n">
        <v>2</v>
      </c>
      <c r="L8" s="18">
        <f>SUM(H8:K8)</f>
        <v/>
      </c>
    </row>
    <row r="9" ht="30.3" customHeight="1">
      <c r="A9" s="12" t="n">
        <v>5</v>
      </c>
      <c r="B9" s="13" t="inlineStr">
        <is>
          <t>Iniciação</t>
        </is>
      </c>
      <c r="C9" s="171" t="inlineStr">
        <is>
          <t>Reunião de Planejamento do Projeto (Product Backlog e Planilha de PCP)</t>
        </is>
      </c>
      <c r="D9" s="15" t="n">
        <v>12</v>
      </c>
      <c r="F9" s="16" t="n">
        <v>5</v>
      </c>
      <c r="G9" s="171" t="inlineStr">
        <is>
          <t>UC07 — Manter Veículo</t>
        </is>
      </c>
      <c r="H9" s="17" t="n">
        <v>8</v>
      </c>
      <c r="I9" s="17" t="n">
        <v>7</v>
      </c>
      <c r="J9" s="17" t="n">
        <v>10</v>
      </c>
      <c r="K9" s="17" t="n">
        <v>3</v>
      </c>
      <c r="L9" s="18">
        <f>SUM(H9:K9)</f>
        <v/>
      </c>
    </row>
    <row r="10" ht="30.3" customHeight="1">
      <c r="A10" s="12" t="n">
        <v>6</v>
      </c>
      <c r="B10" s="13" t="inlineStr">
        <is>
          <t>Iniciação</t>
        </is>
      </c>
      <c r="C10" s="171" t="inlineStr">
        <is>
          <t>Aplicar Checklist da fase (aba Ver-Iniciação1)</t>
        </is>
      </c>
      <c r="D10" s="15" t="n">
        <v>6</v>
      </c>
      <c r="F10" s="16" t="n">
        <v>6</v>
      </c>
      <c r="G10" s="171" t="inlineStr">
        <is>
          <t>UC04 — Calcular Previsão de Conclusão</t>
        </is>
      </c>
      <c r="H10" s="17" t="n">
        <v>9</v>
      </c>
      <c r="I10" s="17" t="n">
        <v>9</v>
      </c>
      <c r="J10" s="17" t="n">
        <v>10</v>
      </c>
      <c r="K10" s="17" t="n">
        <v>9</v>
      </c>
      <c r="L10" s="18">
        <f>SUM(H10:K10)</f>
        <v/>
      </c>
    </row>
    <row r="11" ht="30.3" customHeight="1">
      <c r="A11" s="12" t="n">
        <v>7</v>
      </c>
      <c r="B11" s="13" t="inlineStr">
        <is>
          <t>Iniciação</t>
        </is>
      </c>
      <c r="C11" s="171" t="inlineStr">
        <is>
          <t>Reunião de Revisão do Planejamento</t>
        </is>
      </c>
      <c r="D11" s="15" t="n">
        <v>4</v>
      </c>
      <c r="F11" s="16" t="n">
        <v>7</v>
      </c>
      <c r="G11" s="171" t="inlineStr">
        <is>
          <t>UC03 — Iniciar Sessão de Recarga</t>
        </is>
      </c>
      <c r="H11" s="17" t="n">
        <v>10</v>
      </c>
      <c r="I11" s="17" t="n">
        <v>9</v>
      </c>
      <c r="J11" s="17" t="n">
        <v>10</v>
      </c>
      <c r="K11" s="17" t="n">
        <v>7</v>
      </c>
      <c r="L11" s="18">
        <f>SUM(H11:K11)</f>
        <v/>
      </c>
    </row>
    <row r="12" ht="30.3" customHeight="1">
      <c r="A12" s="32" t="inlineStr">
        <is>
          <t>Elaboração</t>
        </is>
      </c>
      <c r="B12" s="168" t="n"/>
      <c r="C12" s="169" t="n"/>
      <c r="D12" s="10">
        <f>SUM(D5:D11)</f>
        <v/>
      </c>
      <c r="F12" s="16" t="n">
        <v>8</v>
      </c>
      <c r="G12" s="171" t="inlineStr">
        <is>
          <t>UC06 — Apurar Energia da Sessão</t>
        </is>
      </c>
      <c r="H12" s="17" t="n">
        <v>10</v>
      </c>
      <c r="I12" s="17" t="n">
        <v>9</v>
      </c>
      <c r="J12" s="17" t="n">
        <v>10</v>
      </c>
      <c r="K12" s="17" t="n">
        <v>9</v>
      </c>
      <c r="L12" s="18">
        <f>SUM(H12:K12)</f>
        <v/>
      </c>
    </row>
    <row r="13" ht="30.3" customHeight="1">
      <c r="A13" s="12" t="n">
        <v>8</v>
      </c>
      <c r="B13" s="13" t="inlineStr">
        <is>
          <t>Elaboração</t>
        </is>
      </c>
      <c r="C13" s="171" t="inlineStr">
        <is>
          <t>Reunião de Planejamento do Sprint</t>
        </is>
      </c>
      <c r="D13" s="15" t="n">
        <v>4</v>
      </c>
      <c r="F13" s="16" t="n">
        <v>9</v>
      </c>
      <c r="G13" s="171" t="inlineStr">
        <is>
          <t>UC05 — Encerrar Sessão de Recarga</t>
        </is>
      </c>
      <c r="H13" s="17" t="n">
        <v>10</v>
      </c>
      <c r="I13" s="17" t="n">
        <v>8</v>
      </c>
      <c r="J13" s="17" t="n">
        <v>10</v>
      </c>
      <c r="K13" s="17" t="n">
        <v>5</v>
      </c>
      <c r="L13" s="18">
        <f>SUM(H13:K13)</f>
        <v/>
      </c>
    </row>
    <row r="14" ht="30.3" customHeight="1">
      <c r="A14" s="12" t="n">
        <v>9</v>
      </c>
      <c r="B14" s="13" t="inlineStr">
        <is>
          <t>Elaboração</t>
        </is>
      </c>
      <c r="C14" s="171" t="inlineStr">
        <is>
          <t>Estudar tecnologias (Java web — RE-01, RE-02, RE-03)</t>
        </is>
      </c>
      <c r="D14" s="15" t="n">
        <v>16</v>
      </c>
      <c r="F14" s="16" t="n">
        <v>10</v>
      </c>
      <c r="G14" s="171" t="inlineStr">
        <is>
          <t>UC02 — Consultar Painel de Vagas</t>
        </is>
      </c>
      <c r="H14" s="17" t="n">
        <v>10</v>
      </c>
      <c r="I14" s="17" t="n">
        <v>8</v>
      </c>
      <c r="J14" s="17" t="n">
        <v>0</v>
      </c>
      <c r="K14" s="17" t="n">
        <v>6</v>
      </c>
      <c r="L14" s="18">
        <f>SUM(H14:K14)</f>
        <v/>
      </c>
    </row>
    <row r="15" ht="30.3" customHeight="1">
      <c r="A15" s="12" t="n">
        <v>10</v>
      </c>
      <c r="B15" s="13" t="inlineStr">
        <is>
          <t>Elaboração</t>
        </is>
      </c>
      <c r="C15" s="171" t="inlineStr">
        <is>
          <t>Preparar Ambiente de Desenvolvimento</t>
        </is>
      </c>
      <c r="D15" s="15" t="n">
        <v>10</v>
      </c>
      <c r="F15" s="16" t="n">
        <v>11</v>
      </c>
      <c r="G15" s="171" t="inlineStr">
        <is>
          <t>UC13 — Fechar Mês e Gerar Rateio</t>
        </is>
      </c>
      <c r="H15" s="17" t="n">
        <v>10</v>
      </c>
      <c r="I15" s="17" t="n">
        <v>9</v>
      </c>
      <c r="J15" s="17" t="n">
        <v>0</v>
      </c>
      <c r="K15" s="17" t="n">
        <v>6</v>
      </c>
      <c r="L15" s="18">
        <f>SUM(H15:K15)</f>
        <v/>
      </c>
    </row>
    <row r="16" ht="30.3" customHeight="1">
      <c r="A16" s="12" t="n">
        <v>11</v>
      </c>
      <c r="B16" s="13" t="inlineStr">
        <is>
          <t>Elaboração</t>
        </is>
      </c>
      <c r="C16" s="171" t="inlineStr">
        <is>
          <t>Especificar, Analisar e Projetar UC03, UC04 e UC06 (potência efetiva — maior risco técnico, RI-08)</t>
        </is>
      </c>
      <c r="D16" s="15" t="n">
        <v>20</v>
      </c>
      <c r="F16" s="16" t="n">
        <v>12</v>
      </c>
      <c r="G16" s="171" t="inlineStr">
        <is>
          <t>UC12 — Encerrar Sessão Órfã</t>
        </is>
      </c>
      <c r="H16" s="17" t="n">
        <v>7</v>
      </c>
      <c r="I16" s="17" t="n">
        <v>6</v>
      </c>
      <c r="J16" s="17" t="n">
        <v>0</v>
      </c>
      <c r="K16" s="17" t="n">
        <v>4</v>
      </c>
      <c r="L16" s="18">
        <f>SUM(H16:K16)</f>
        <v/>
      </c>
    </row>
    <row r="17" ht="30.3" customHeight="1">
      <c r="A17" s="12" t="n">
        <v>12</v>
      </c>
      <c r="B17" s="13" t="inlineStr">
        <is>
          <t>Elaboração</t>
        </is>
      </c>
      <c r="C17" s="171" t="inlineStr">
        <is>
          <t>Definir Arquitetura (Documento de Arquitetura, Modelo de Dados, Modelo de Objetos)</t>
        </is>
      </c>
      <c r="D17" s="15" t="n">
        <v>24</v>
      </c>
      <c r="F17" s="16" t="n">
        <v>13</v>
      </c>
      <c r="G17" s="171" t="inlineStr">
        <is>
          <t>UC08 — Consultar Consumo do Mês</t>
        </is>
      </c>
      <c r="H17" s="17" t="n">
        <v>7</v>
      </c>
      <c r="I17" s="17" t="n">
        <v>5</v>
      </c>
      <c r="J17" s="17" t="n">
        <v>0</v>
      </c>
      <c r="K17" s="17" t="n">
        <v>3</v>
      </c>
      <c r="L17" s="18">
        <f>SUM(H17:K17)</f>
        <v/>
      </c>
    </row>
    <row r="18" ht="43.2" customHeight="1">
      <c r="A18" s="12" t="n">
        <v>13</v>
      </c>
      <c r="B18" s="13" t="inlineStr">
        <is>
          <t>Elaboração</t>
        </is>
      </c>
      <c r="C18" s="171" t="inlineStr">
        <is>
          <t>Criar Guia de Implementação</t>
        </is>
      </c>
      <c r="D18" s="15" t="n">
        <v>8</v>
      </c>
      <c r="F18" s="16" t="n">
        <v>14</v>
      </c>
      <c r="G18" s="171" t="inlineStr">
        <is>
          <t>UC14 — Consultar Histórico de Utilização</t>
        </is>
      </c>
      <c r="H18" s="17" t="n">
        <v>6</v>
      </c>
      <c r="I18" s="17" t="n">
        <v>4</v>
      </c>
      <c r="J18" s="17" t="n">
        <v>0</v>
      </c>
      <c r="K18" s="17" t="n">
        <v>5</v>
      </c>
      <c r="L18" s="18">
        <f>SUM(H18:K18)</f>
        <v/>
      </c>
    </row>
    <row r="19" ht="30.3" customHeight="1">
      <c r="A19" s="12" t="n">
        <v>14</v>
      </c>
      <c r="B19" s="13" t="inlineStr">
        <is>
          <t>Elaboração</t>
        </is>
      </c>
      <c r="C19" s="171" t="inlineStr">
        <is>
          <t>Implementar e testar a arquitetura executável (UC03 + UC04 + UC06)</t>
        </is>
      </c>
      <c r="D19" s="15" t="n">
        <v>32</v>
      </c>
      <c r="H19" s="23" t="n"/>
      <c r="I19" s="23" t="n"/>
      <c r="J19" s="23" t="n"/>
      <c r="K19" s="23" t="n"/>
      <c r="L19" s="23" t="n"/>
    </row>
    <row r="20" ht="17.4" customHeight="1">
      <c r="A20" s="12" t="n">
        <v>15</v>
      </c>
      <c r="B20" s="13" t="inlineStr">
        <is>
          <t>Elaboração</t>
        </is>
      </c>
      <c r="C20" s="171" t="inlineStr">
        <is>
          <t>Aplicar Checklist da fase</t>
        </is>
      </c>
      <c r="D20" s="15" t="n">
        <v>6</v>
      </c>
      <c r="H20" s="23" t="n"/>
      <c r="I20" s="23" t="n"/>
      <c r="J20" s="23" t="n"/>
      <c r="K20" s="23" t="n"/>
      <c r="L20" s="23" t="n"/>
    </row>
    <row r="21" ht="17.4" customHeight="1">
      <c r="A21" s="12" t="n">
        <v>16</v>
      </c>
      <c r="B21" s="13" t="inlineStr">
        <is>
          <t>Elaboração</t>
        </is>
      </c>
      <c r="C21" s="171" t="inlineStr">
        <is>
          <t>Reunião de Revisão do Planejamento</t>
        </is>
      </c>
      <c r="D21" s="15" t="n">
        <v>4</v>
      </c>
      <c r="H21" s="23" t="n"/>
      <c r="I21" s="23" t="n"/>
      <c r="J21" s="23" t="n"/>
      <c r="K21" s="23" t="n"/>
      <c r="L21" s="23" t="n"/>
    </row>
    <row r="22" ht="17.4" customHeight="1">
      <c r="A22" s="32" t="inlineStr">
        <is>
          <t>Construção</t>
        </is>
      </c>
      <c r="B22" s="168" t="n"/>
      <c r="C22" s="169" t="n"/>
      <c r="D22" s="10">
        <f>SUM(D13:D21)</f>
        <v/>
      </c>
      <c r="H22" s="23" t="n"/>
      <c r="I22" s="23" t="n"/>
      <c r="J22" s="23" t="n"/>
      <c r="K22" s="23" t="n"/>
      <c r="L22" s="23" t="n"/>
    </row>
    <row r="23" ht="17.4" customHeight="1">
      <c r="A23" s="12" t="n">
        <v>17</v>
      </c>
      <c r="B23" s="13" t="inlineStr">
        <is>
          <t>Construção</t>
        </is>
      </c>
      <c r="C23" s="171" t="inlineStr">
        <is>
          <t>Reunião de Planejamento do Sprint (4 sprints)</t>
        </is>
      </c>
      <c r="D23" s="15" t="n">
        <v>8</v>
      </c>
    </row>
    <row r="24" ht="17.4" customHeight="1">
      <c r="A24" s="12" t="n">
        <v>18</v>
      </c>
      <c r="B24" s="13" t="inlineStr">
        <is>
          <t>Construção</t>
        </is>
      </c>
      <c r="C24" s="171" t="inlineStr">
        <is>
          <t>Modelar, implementar e testar UC01 — Autenticar Usuário</t>
        </is>
      </c>
      <c r="D24" s="15" t="n">
        <v>12</v>
      </c>
    </row>
    <row r="25" ht="17.4" customHeight="1">
      <c r="A25" s="12" t="n">
        <v>19</v>
      </c>
      <c r="B25" s="13" t="inlineStr">
        <is>
          <t>Construção</t>
        </is>
      </c>
      <c r="C25" s="171" t="inlineStr">
        <is>
          <t>Modelar, implementar e testar UC11 — Manter Moradores</t>
        </is>
      </c>
      <c r="D25" s="15" t="n">
        <v>14</v>
      </c>
    </row>
    <row r="26" ht="17.4" customHeight="1">
      <c r="A26" s="12" t="n">
        <v>20</v>
      </c>
      <c r="B26" s="13" t="inlineStr">
        <is>
          <t>Construção</t>
        </is>
      </c>
      <c r="C26" s="171" t="inlineStr">
        <is>
          <t>Modelar, implementar e testar UC09 — Manter Vagas com Carregador</t>
        </is>
      </c>
      <c r="D26" s="15" t="n">
        <v>12</v>
      </c>
    </row>
    <row r="27" ht="17.4" customHeight="1">
      <c r="A27" s="12" t="n">
        <v>21</v>
      </c>
      <c r="B27" s="13" t="inlineStr">
        <is>
          <t>Construção</t>
        </is>
      </c>
      <c r="C27" s="171" t="inlineStr">
        <is>
          <t>Modelar, implementar e testar UC10 — Definir Tarifa de Energia</t>
        </is>
      </c>
      <c r="D27" s="15" t="n">
        <v>10</v>
      </c>
    </row>
    <row r="28" ht="17.4" customHeight="1">
      <c r="A28" s="12" t="n">
        <v>22</v>
      </c>
      <c r="B28" s="13" t="inlineStr">
        <is>
          <t>Construção</t>
        </is>
      </c>
      <c r="C28" s="171" t="inlineStr">
        <is>
          <t>Modelar, implementar e testar UC07 — Manter Veículo</t>
        </is>
      </c>
      <c r="D28" s="15" t="n">
        <v>12</v>
      </c>
    </row>
    <row r="29" ht="30.3" customHeight="1">
      <c r="A29" s="12" t="n">
        <v>23</v>
      </c>
      <c r="B29" s="13" t="inlineStr">
        <is>
          <t>Construção</t>
        </is>
      </c>
      <c r="C29" s="171" t="inlineStr">
        <is>
          <t>Modelar, implementar e testar UC02 — Consultar Painel de Vagas (estados derivados)</t>
        </is>
      </c>
      <c r="D29" s="15" t="n">
        <v>20</v>
      </c>
    </row>
    <row r="30" ht="17.4" customHeight="1">
      <c r="A30" s="12" t="n">
        <v>24</v>
      </c>
      <c r="B30" s="13" t="inlineStr">
        <is>
          <t>Construção</t>
        </is>
      </c>
      <c r="C30" s="171" t="inlineStr">
        <is>
          <t>Modelar, implementar e testar UC05 — Encerrar Sessão de Recarga</t>
        </is>
      </c>
      <c r="D30" s="15" t="n">
        <v>14</v>
      </c>
    </row>
    <row r="31" ht="17.4" customHeight="1">
      <c r="A31" s="12" t="n">
        <v>25</v>
      </c>
      <c r="B31" s="13" t="inlineStr">
        <is>
          <t>Construção</t>
        </is>
      </c>
      <c r="C31" s="171" t="inlineStr">
        <is>
          <t>Modelar, implementar e testar UC08 — Consultar Consumo do Mês</t>
        </is>
      </c>
      <c r="D31" s="15" t="n">
        <v>12</v>
      </c>
    </row>
    <row r="32" ht="17.4" customHeight="1">
      <c r="A32" s="12" t="n">
        <v>26</v>
      </c>
      <c r="B32" s="13" t="inlineStr">
        <is>
          <t>Construção</t>
        </is>
      </c>
      <c r="C32" s="171" t="inlineStr">
        <is>
          <t>Modelar, implementar e testar UC12 — Encerrar Sessão Órfã</t>
        </is>
      </c>
      <c r="D32" s="15" t="n">
        <v>12</v>
      </c>
    </row>
    <row r="33" ht="17.4" customHeight="1">
      <c r="A33" s="12" t="n">
        <v>27</v>
      </c>
      <c r="B33" s="13" t="inlineStr">
        <is>
          <t>Construção</t>
        </is>
      </c>
      <c r="C33" s="171" t="inlineStr">
        <is>
          <t>Modelar, implementar e testar UC13 — Fechar Mês e Gerar Rateio</t>
        </is>
      </c>
      <c r="D33" s="15" t="n">
        <v>20</v>
      </c>
    </row>
    <row r="34" ht="30.3" customHeight="1">
      <c r="A34" s="12" t="n">
        <v>28</v>
      </c>
      <c r="B34" s="13" t="inlineStr">
        <is>
          <t>Construção</t>
        </is>
      </c>
      <c r="C34" s="171" t="inlineStr">
        <is>
          <t>Modelar, implementar e testar UC14 — Consultar Histórico de Utilização</t>
        </is>
      </c>
      <c r="D34" s="15" t="n">
        <v>16</v>
      </c>
    </row>
    <row r="35" ht="17.4" customHeight="1">
      <c r="A35" s="12" t="n">
        <v>29</v>
      </c>
      <c r="B35" s="13" t="inlineStr">
        <is>
          <t>Construção</t>
        </is>
      </c>
      <c r="C35" s="171" t="inlineStr">
        <is>
          <t>Projetar e Executar Testes de unidade e integração</t>
        </is>
      </c>
      <c r="D35" s="15" t="n">
        <v>20</v>
      </c>
    </row>
    <row r="36" ht="17.4" customHeight="1">
      <c r="A36" s="12" t="n">
        <v>30</v>
      </c>
      <c r="B36" s="13" t="inlineStr">
        <is>
          <t>Construção</t>
        </is>
      </c>
      <c r="C36" s="171" t="inlineStr">
        <is>
          <t>Aplicar Checklist da fase</t>
        </is>
      </c>
      <c r="D36" s="15" t="n">
        <v>6</v>
      </c>
    </row>
    <row r="37" ht="17.4" customHeight="1">
      <c r="A37" s="12" t="n">
        <v>31</v>
      </c>
      <c r="B37" s="13" t="inlineStr">
        <is>
          <t>Construção</t>
        </is>
      </c>
      <c r="C37" s="171" t="inlineStr">
        <is>
          <t>Reunião de Revisão do Planejamento</t>
        </is>
      </c>
      <c r="D37" s="15" t="n">
        <v>4</v>
      </c>
    </row>
    <row r="38" ht="17.4" customHeight="1">
      <c r="A38" s="32" t="inlineStr">
        <is>
          <t>Transição</t>
        </is>
      </c>
      <c r="B38" s="168" t="n"/>
      <c r="C38" s="169" t="n"/>
      <c r="D38" s="10">
        <f>SUM(D23:D37)</f>
        <v/>
      </c>
    </row>
    <row r="39" ht="17.4" customHeight="1">
      <c r="A39" s="12" t="n">
        <v>32</v>
      </c>
      <c r="B39" s="13" t="inlineStr">
        <is>
          <t>Transição</t>
        </is>
      </c>
      <c r="C39" s="171" t="inlineStr">
        <is>
          <t>Reunião de Planejamento do Sprint</t>
        </is>
      </c>
      <c r="D39" s="15" t="n">
        <v>4</v>
      </c>
    </row>
    <row r="40" ht="17.4" customHeight="1">
      <c r="A40" s="12" t="n">
        <v>33</v>
      </c>
      <c r="B40" s="13" t="inlineStr">
        <is>
          <t>Transição</t>
        </is>
      </c>
      <c r="C40" s="171" t="inlineStr">
        <is>
          <t>Projetar Testes de Sistema (Roteiro de Teste e Massa de Teste)</t>
        </is>
      </c>
      <c r="D40" s="15" t="n">
        <v>12</v>
      </c>
    </row>
    <row r="41" ht="17.4" customHeight="1">
      <c r="A41" s="12" t="n">
        <v>34</v>
      </c>
      <c r="B41" s="13" t="inlineStr">
        <is>
          <t>Transição</t>
        </is>
      </c>
      <c r="C41" s="171" t="inlineStr">
        <is>
          <t>Executar Testes de Sistema</t>
        </is>
      </c>
      <c r="D41" s="15" t="n">
        <v>16</v>
      </c>
    </row>
    <row r="42" ht="17.4" customHeight="1">
      <c r="A42" s="12" t="n">
        <v>35</v>
      </c>
      <c r="B42" s="13" t="inlineStr">
        <is>
          <t>Transição</t>
        </is>
      </c>
      <c r="C42" s="171" t="inlineStr">
        <is>
          <t>Corrigir Defeitos</t>
        </is>
      </c>
      <c r="D42" s="15" t="n">
        <v>20</v>
      </c>
    </row>
    <row r="43" ht="17.4" customHeight="1">
      <c r="A43" s="12" t="n">
        <v>36</v>
      </c>
      <c r="B43" s="13" t="inlineStr">
        <is>
          <t>Transição</t>
        </is>
      </c>
      <c r="C43" s="171" t="inlineStr">
        <is>
          <t>Preparar Implantação (criar Guia de Implantação)</t>
        </is>
      </c>
      <c r="D43" s="15" t="n">
        <v>8</v>
      </c>
    </row>
    <row r="44" ht="17.4" customHeight="1">
      <c r="A44" s="12" t="n">
        <v>37</v>
      </c>
      <c r="B44" s="13" t="inlineStr">
        <is>
          <t>Transição</t>
        </is>
      </c>
      <c r="C44" s="171" t="inlineStr">
        <is>
          <t>Elaborar Material de Suporte e Treinamento (Manual do Usuário)</t>
        </is>
      </c>
      <c r="D44" s="15" t="n">
        <v>12</v>
      </c>
    </row>
    <row r="45" ht="17.4" customHeight="1">
      <c r="A45" s="12" t="n">
        <v>38</v>
      </c>
      <c r="B45" s="13" t="inlineStr">
        <is>
          <t>Transição</t>
        </is>
      </c>
      <c r="C45" s="171" t="inlineStr">
        <is>
          <t>Preparar Ambiente de Produção</t>
        </is>
      </c>
      <c r="D45" s="15" t="n">
        <v>8</v>
      </c>
    </row>
    <row r="46" ht="17.4" customHeight="1">
      <c r="A46" s="12" t="n">
        <v>39</v>
      </c>
      <c r="B46" s="13" t="inlineStr">
        <is>
          <t>Transição</t>
        </is>
      </c>
      <c r="C46" s="171" t="inlineStr">
        <is>
          <t>Implantar o Produto no Ambiente de Produção</t>
        </is>
      </c>
      <c r="D46" s="15" t="n">
        <v>6</v>
      </c>
    </row>
    <row r="47" ht="17.4" customHeight="1">
      <c r="A47" s="12" t="n">
        <v>40</v>
      </c>
      <c r="B47" s="13" t="inlineStr">
        <is>
          <t>Transição</t>
        </is>
      </c>
      <c r="C47" s="171" t="inlineStr">
        <is>
          <t>Aplicar Checklist da fase</t>
        </is>
      </c>
      <c r="D47" s="15" t="n">
        <v>6</v>
      </c>
    </row>
    <row r="48" ht="17.4" customHeight="1">
      <c r="A48" s="33" t="n"/>
      <c r="B48" s="166" t="n"/>
      <c r="C48" s="167" t="n"/>
      <c r="D48" s="10">
        <f>SUM(D39:D47)</f>
        <v/>
      </c>
    </row>
    <row r="49" ht="17.4" customHeight="1">
      <c r="D49" s="26">
        <f>SUM(D12,D22,D38,D48)</f>
        <v/>
      </c>
    </row>
    <row r="51">
      <c r="A51" t="inlineStr">
        <is>
          <t>NOTA — As estimativas em horas são PRELIMINARES, derivadas do escopo da Visão v3.0 e do Modelo de Caso de Uso v3.0. Serão confirmadas por Planning Poker na Reunião de Planejamento do Projeto, conforme registrado no artefato CARREGAJA - História de Usuário v2.0.</t>
        </is>
      </c>
    </row>
    <row r="52">
      <c r="A52" t="inlineStr">
        <is>
          <t>NOTA — UC04 e UC06 são executados por inclusão (não há acesso direto de ator) e por isso não aparecem como tarefa isolada na Construção: são construídos na Elaboração, como arquitetura executável, por concentrarem o maior risco técnico do projeto (RI-08).</t>
        </is>
      </c>
    </row>
    <row r="53">
      <c r="A53" t="inlineStr">
        <is>
          <t>NOTA — Priorização VRDC conforme o Guia do SpinOff: Valor, Risco e Complexidade Técnica de 0 a 10; Dependência pontua 10 somente quando a história gera insumo para outras do Backlog.</t>
        </is>
      </c>
    </row>
  </sheetData>
  <mergeCells count="11">
    <mergeCell ref="A1:D1"/>
    <mergeCell ref="H3:L3"/>
    <mergeCell ref="A49:C49"/>
    <mergeCell ref="F1:L1"/>
    <mergeCell ref="A22:C22"/>
    <mergeCell ref="F2:L2"/>
    <mergeCell ref="A2:D2"/>
    <mergeCell ref="A12:C12"/>
    <mergeCell ref="A4:C4"/>
    <mergeCell ref="A48:C48"/>
    <mergeCell ref="A38:C38"/>
  </mergeCells>
  <pageMargins left="0.7000000000000001" right="0.7000000000000001" top="1.143700787401575" bottom="1.143700787401575" header="0.7500000000000001" footer="0.7500000000000001"/>
  <pageSetup orientation="portrait" paperSize="0" fitToHeight="0" fitToWidth="0" horizontalDpi="0" verticalDpi="0" copies="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4.1"/>
  <cols>
    <col width="48.25" customWidth="1" style="1" min="1" max="1"/>
    <col width="15.5" customWidth="1" style="34" min="2" max="2"/>
    <col width="20.75" customWidth="1" style="1" min="3" max="3"/>
    <col width="8.125" customWidth="1" style="1" min="4" max="1024"/>
    <col width="9" customWidth="1" min="1025" max="1025"/>
  </cols>
  <sheetData>
    <row r="1" ht="15.75" customHeight="1">
      <c r="A1" s="53" t="inlineStr">
        <is>
          <t>Esta planilha deve ser utilizada como sugestão ou base para o planejamento inicial</t>
        </is>
      </c>
      <c r="B1" s="166" t="n"/>
      <c r="C1" s="167" t="n"/>
    </row>
    <row r="2" ht="7.5" customHeight="1"/>
    <row r="3" ht="15.75" customHeight="1">
      <c r="A3" s="54" t="inlineStr">
        <is>
          <t>Planejamento Estimado</t>
        </is>
      </c>
      <c r="B3" s="170" t="n"/>
      <c r="C3" s="170" t="n"/>
    </row>
    <row r="4" ht="15.75" customHeight="1">
      <c r="A4" s="35" t="inlineStr">
        <is>
          <t>Esforço total estimado (Planilha Estimativa)</t>
        </is>
      </c>
      <c r="B4" s="36">
        <f>Backlog_Produto!$D$49</f>
        <v/>
      </c>
      <c r="C4" s="35" t="inlineStr">
        <is>
          <t>horas</t>
        </is>
      </c>
    </row>
    <row r="5" ht="15" customHeight="1">
      <c r="A5" s="37" t="inlineStr">
        <is>
          <t>Ajuste base histórica (margem de erro da estimativa)</t>
        </is>
      </c>
      <c r="B5" s="172" t="n">
        <v>0.4</v>
      </c>
      <c r="C5" s="37" t="inlineStr">
        <is>
          <t>% de erro de estimativa</t>
        </is>
      </c>
      <c r="E5" s="1" t="inlineStr">
        <is>
          <t>Sem base histórica: mantida a margem padrão do template</t>
        </is>
      </c>
    </row>
    <row r="6" ht="15" customHeight="1">
      <c r="A6" s="39" t="inlineStr">
        <is>
          <t>Qde desenvolvedores</t>
        </is>
      </c>
      <c r="B6" s="40" t="n">
        <v>4</v>
      </c>
      <c r="C6" s="39" t="inlineStr">
        <is>
          <t>integrantes (RE-14)</t>
        </is>
      </c>
    </row>
    <row r="7" ht="15" customHeight="1">
      <c r="A7" s="39" t="inlineStr">
        <is>
          <t>Jornada de trabalho semanal por desenvolvedor</t>
        </is>
      </c>
      <c r="B7" s="40" t="n">
        <v>8</v>
      </c>
      <c r="C7" s="39" t="inlineStr">
        <is>
          <t>horas/semana por integrante</t>
        </is>
      </c>
    </row>
    <row r="8" ht="15" customHeight="1">
      <c r="A8" s="39" t="inlineStr">
        <is>
          <t>Capacidade do Time por Sprint</t>
        </is>
      </c>
      <c r="B8" s="173">
        <f>B6*B7*2</f>
        <v/>
      </c>
      <c r="C8" s="39" t="inlineStr">
        <is>
          <t>horas</t>
        </is>
      </c>
    </row>
    <row r="9" ht="19.5" customHeight="1">
      <c r="A9" s="42" t="inlineStr">
        <is>
          <t>Número de SPRINTs (sprint = 2 semanas)</t>
        </is>
      </c>
      <c r="B9" s="174">
        <f>B11/2</f>
        <v/>
      </c>
      <c r="C9" s="42" t="inlineStr">
        <is>
          <t>sprints</t>
        </is>
      </c>
    </row>
    <row r="10" ht="19.5" customHeight="1">
      <c r="A10" s="44" t="inlineStr">
        <is>
          <t>Esforço total</t>
        </is>
      </c>
      <c r="B10" s="174">
        <f>B4+(B4*B5)</f>
        <v/>
      </c>
      <c r="C10" s="44" t="inlineStr">
        <is>
          <t>horas</t>
        </is>
      </c>
    </row>
    <row r="11" ht="15" customHeight="1">
      <c r="A11" s="39" t="inlineStr">
        <is>
          <t>Prazo em semanas</t>
        </is>
      </c>
      <c r="B11" s="173">
        <f>B10/B8*2</f>
        <v/>
      </c>
      <c r="C11" s="39" t="inlineStr">
        <is>
          <t>semanas</t>
        </is>
      </c>
    </row>
    <row r="12" ht="15.75" customHeight="1">
      <c r="A12" s="35" t="inlineStr">
        <is>
          <t>Prazo em meses</t>
        </is>
      </c>
      <c r="B12" s="175">
        <f>B11/4</f>
        <v/>
      </c>
      <c r="C12" s="35" t="inlineStr">
        <is>
          <t>meses</t>
        </is>
      </c>
    </row>
    <row r="13" ht="15" customHeight="1"/>
    <row r="14" ht="15.75" customHeight="1">
      <c r="A14" s="54" t="inlineStr">
        <is>
          <t>Análise Financeira</t>
        </is>
      </c>
      <c r="B14" s="170" t="n"/>
      <c r="C14" s="170" t="n"/>
    </row>
    <row r="15" ht="15" customHeight="1">
      <c r="A15" s="39" t="inlineStr">
        <is>
          <t>Valor hora média desenvolvedor</t>
        </is>
      </c>
      <c r="B15" s="176" t="n">
        <v>0</v>
      </c>
      <c r="C15" s="47" t="n"/>
    </row>
    <row r="16" ht="15" customHeight="1">
      <c r="A16" s="39" t="inlineStr">
        <is>
          <t>Custo direto</t>
        </is>
      </c>
      <c r="B16" s="177">
        <f>B10*B15</f>
        <v/>
      </c>
      <c r="C16" s="47" t="n"/>
    </row>
    <row r="17" ht="15" customHeight="1">
      <c r="A17" s="39" t="inlineStr">
        <is>
          <t>Percentual do custo indireto</t>
        </is>
      </c>
      <c r="B17" s="172" t="n">
        <v>0</v>
      </c>
      <c r="C17" s="47" t="n"/>
    </row>
    <row r="18" ht="15" customHeight="1">
      <c r="A18" s="39" t="inlineStr">
        <is>
          <t>Custo indireto</t>
        </is>
      </c>
      <c r="B18" s="178">
        <f>B16*B17</f>
        <v/>
      </c>
      <c r="C18" s="47" t="n"/>
    </row>
    <row r="19" ht="18.75" customHeight="1">
      <c r="A19" s="50" t="inlineStr">
        <is>
          <t>Custo</t>
        </is>
      </c>
      <c r="B19" s="179">
        <f>B16+B18</f>
        <v/>
      </c>
      <c r="C19" s="47" t="n"/>
    </row>
    <row r="20" ht="15" customHeight="1">
      <c r="A20" s="39" t="inlineStr">
        <is>
          <t>Percentual de lucro desejado</t>
        </is>
      </c>
      <c r="B20" s="172" t="n">
        <v>0</v>
      </c>
      <c r="C20" s="47" t="n"/>
    </row>
    <row r="21" ht="15" customHeight="1">
      <c r="A21" s="39" t="inlineStr">
        <is>
          <t>Valor lucro</t>
        </is>
      </c>
      <c r="B21" s="180">
        <f>B19*B20</f>
        <v/>
      </c>
      <c r="C21" s="47" t="n"/>
    </row>
    <row r="22" ht="18.75" customHeight="1">
      <c r="A22" s="50" t="inlineStr">
        <is>
          <t>Preço</t>
        </is>
      </c>
      <c r="B22" s="179">
        <f>B19+B21</f>
        <v/>
      </c>
      <c r="C22" s="47" t="n"/>
    </row>
    <row r="24">
      <c r="A24" t="inlineStr">
        <is>
          <t>NOTA — RE-14: equipe de quatro estudantes com dedicação parcial e SEM orçamento financeiro. Por isso valor/hora,</t>
        </is>
      </c>
    </row>
    <row r="25">
      <c r="A25" t="inlineStr">
        <is>
          <t>custo indireto e lucro estão zerados: o projeto é acadêmico e não há aquisição de licenças, serviços ou equipamentos.</t>
        </is>
      </c>
    </row>
    <row r="26">
      <c r="A26" t="inlineStr"/>
    </row>
    <row r="27">
      <c r="A27" t="inlineStr">
        <is>
          <t>NOTA — Margem de erro de 40% (padrão do template) mantida por a equipe não possuir base histórica de produtividade.</t>
        </is>
      </c>
    </row>
    <row r="28">
      <c r="A28" t="inlineStr">
        <is>
          <t>Ela é a causa da diferença entre o esforço ajustado desta aba e a soma de horas do Plano de Entregas: ver risco RI-12.</t>
        </is>
      </c>
    </row>
  </sheetData>
  <mergeCells count="3">
    <mergeCell ref="A1:C1"/>
    <mergeCell ref="A3:C3"/>
    <mergeCell ref="A14:C14"/>
  </mergeCells>
  <pageMargins left="0.511811023622047" right="0.511811023622047" top="1.181102362204725" bottom="1.181102362204725" header="0.78740157480315" footer="0.78740157480315"/>
  <pageSetup orientation="portrait" paperSize="0" fitToHeight="0" fitToWidth="0" horizontalDpi="0" verticalDpi="0" copies="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1.65"/>
  <cols>
    <col width="6.125" customWidth="1" style="85" min="1" max="1"/>
    <col width="45.25" customWidth="1" style="6" min="2" max="2"/>
    <col width="13.875" customWidth="1" style="85" min="3" max="3"/>
    <col width="13.125" customWidth="1" style="6" min="4" max="6"/>
    <col width="13" customWidth="1" style="6" min="7" max="9"/>
    <col width="13" customWidth="1" style="25" min="10" max="10"/>
    <col width="14.75" customWidth="1" style="6" min="11" max="11"/>
    <col width="8.5" customWidth="1" style="6" min="12" max="1024"/>
    <col width="9" customWidth="1" min="1025" max="1025"/>
  </cols>
  <sheetData>
    <row r="1" ht="23.25" customHeight="1">
      <c r="A1" s="86" t="inlineStr">
        <is>
          <t>Monitoramento e Controle do Projeto (Plano de Entregas)</t>
        </is>
      </c>
      <c r="B1" s="170" t="n"/>
      <c r="C1" s="170" t="n"/>
      <c r="D1" s="170" t="n"/>
      <c r="E1" s="170" t="n"/>
      <c r="F1" s="170" t="n"/>
      <c r="G1" s="170" t="n"/>
      <c r="H1" s="170" t="n"/>
      <c r="I1" s="170" t="n"/>
      <c r="J1" s="170" t="n"/>
      <c r="K1" s="170" t="n"/>
    </row>
    <row r="2" ht="15.75" customHeight="1">
      <c r="A2" s="87" t="inlineStr">
        <is>
          <t>Carga Horária Total</t>
        </is>
      </c>
      <c r="B2" s="166" t="n"/>
      <c r="C2" s="166" t="n"/>
      <c r="D2" s="167" t="n"/>
      <c r="E2" s="87">
        <f>Planejamento!$B$10</f>
        <v/>
      </c>
      <c r="F2" s="181" t="n"/>
      <c r="G2" s="87" t="inlineStr">
        <is>
          <t>Carga Horária Total</t>
        </is>
      </c>
      <c r="H2" s="166" t="n"/>
      <c r="I2" s="166" t="n"/>
      <c r="J2" s="167" t="n"/>
      <c r="K2" s="87" t="n"/>
    </row>
    <row r="3" ht="14.25" customHeight="1">
      <c r="A3" s="57" t="n"/>
      <c r="B3" s="182" t="n"/>
      <c r="C3" s="183" t="inlineStr">
        <is>
          <t>PREVISTO</t>
        </is>
      </c>
      <c r="D3" s="166" t="n"/>
      <c r="E3" s="167" t="n"/>
      <c r="F3" s="59" t="n"/>
      <c r="G3" s="89" t="inlineStr">
        <is>
          <t>REALIZADO</t>
        </is>
      </c>
      <c r="H3" s="166" t="n"/>
      <c r="I3" s="167" t="n"/>
      <c r="J3" s="61" t="n"/>
      <c r="K3" s="62" t="n"/>
    </row>
    <row r="4" ht="14.25" customHeight="1">
      <c r="A4" s="89" t="inlineStr">
        <is>
          <t>Sprint</t>
        </is>
      </c>
      <c r="B4" s="89" t="inlineStr">
        <is>
          <t>Produtos</t>
        </is>
      </c>
      <c r="C4" s="89" t="inlineStr">
        <is>
          <t>Data Início</t>
        </is>
      </c>
      <c r="D4" s="89" t="inlineStr">
        <is>
          <t>Data Fim</t>
        </is>
      </c>
      <c r="E4" s="89" t="inlineStr">
        <is>
          <t>Horas</t>
        </is>
      </c>
      <c r="F4" s="89" t="inlineStr">
        <is>
          <t>Status</t>
        </is>
      </c>
      <c r="G4" s="89" t="inlineStr">
        <is>
          <t>Data Início</t>
        </is>
      </c>
      <c r="H4" s="89" t="inlineStr">
        <is>
          <t>Data Término</t>
        </is>
      </c>
      <c r="I4" s="89" t="inlineStr">
        <is>
          <t>Horas</t>
        </is>
      </c>
      <c r="J4" s="63" t="inlineStr">
        <is>
          <t>Diferença (hs)</t>
        </is>
      </c>
      <c r="K4" s="89" t="inlineStr">
        <is>
          <t>Versão</t>
        </is>
      </c>
    </row>
    <row r="5" ht="30.3" customHeight="1">
      <c r="A5" s="64" t="n">
        <v>1</v>
      </c>
      <c r="B5" s="184" t="inlineStr">
        <is>
          <t>Iniciação: Visão v3.0, Modelo de Caso de Uso v3.0 e História de Usuário v2.0</t>
        </is>
      </c>
      <c r="C5" s="185" t="n">
        <v>46251</v>
      </c>
      <c r="D5" s="185" t="n">
        <v>46262</v>
      </c>
      <c r="E5" s="186" t="n">
        <v>56</v>
      </c>
      <c r="F5" s="68" t="inlineStr">
        <is>
          <t>Em execução</t>
        </is>
      </c>
      <c r="G5" s="187" t="n"/>
      <c r="H5" s="187" t="n"/>
      <c r="I5" s="186" t="n"/>
      <c r="J5" s="188">
        <f>E5-I5</f>
        <v/>
      </c>
      <c r="K5" s="70" t="inlineStr">
        <is>
          <t>v-1.0.0</t>
        </is>
      </c>
    </row>
    <row r="6" ht="30.3" customHeight="1">
      <c r="A6" s="64" t="n">
        <v>2</v>
      </c>
      <c r="B6" s="184" t="inlineStr">
        <is>
          <t>Iniciação: Glossário, Planilha de PCP, Product Backlog e Checklist da fase</t>
        </is>
      </c>
      <c r="C6" s="185" t="n">
        <v>46265</v>
      </c>
      <c r="D6" s="185" t="n">
        <v>46276</v>
      </c>
      <c r="E6" s="186" t="n">
        <v>56</v>
      </c>
      <c r="F6" s="68" t="inlineStr">
        <is>
          <t>Planejado</t>
        </is>
      </c>
      <c r="G6" s="187" t="n"/>
      <c r="H6" s="187" t="n"/>
      <c r="I6" s="186" t="n"/>
      <c r="J6" s="188">
        <f>E6-I6</f>
        <v/>
      </c>
      <c r="K6" s="70" t="n"/>
    </row>
    <row r="7" ht="30.3" customHeight="1">
      <c r="A7" s="64" t="n">
        <v>3</v>
      </c>
      <c r="B7" s="184" t="inlineStr">
        <is>
          <t>Elaboração: ambiente de desenvolvimento, estudo de tecnologias e Documento de Arquitetura</t>
        </is>
      </c>
      <c r="C7" s="185" t="n">
        <v>46279</v>
      </c>
      <c r="D7" s="185" t="n">
        <v>46290</v>
      </c>
      <c r="E7" s="186" t="n">
        <v>64</v>
      </c>
      <c r="F7" s="68" t="inlineStr">
        <is>
          <t>Planejado</t>
        </is>
      </c>
      <c r="G7" s="187" t="n"/>
      <c r="H7" s="187" t="n"/>
      <c r="I7" s="186" t="n"/>
      <c r="J7" s="188">
        <f>E7-I7</f>
        <v/>
      </c>
      <c r="K7" s="70" t="n"/>
    </row>
    <row r="8" ht="43.2" customHeight="1">
      <c r="A8" s="64" t="n">
        <v>4</v>
      </c>
      <c r="B8" s="184" t="inlineStr">
        <is>
          <t>Elaboração: arquitetura executável (UC03, UC04, UC06), Guia de Implementação e Checklist da fase</t>
        </is>
      </c>
      <c r="C8" s="185" t="n">
        <v>46293</v>
      </c>
      <c r="D8" s="185" t="n">
        <v>46304</v>
      </c>
      <c r="E8" s="186" t="n">
        <v>64</v>
      </c>
      <c r="F8" s="68" t="inlineStr">
        <is>
          <t>Planejado</t>
        </is>
      </c>
      <c r="G8" s="187" t="n"/>
      <c r="H8" s="187" t="n"/>
      <c r="I8" s="186" t="n"/>
      <c r="J8" s="188">
        <f>E8-I8</f>
        <v/>
      </c>
      <c r="K8" s="70" t="inlineStr">
        <is>
          <t>v-2.0.0</t>
        </is>
      </c>
    </row>
    <row r="9" ht="30.3" customHeight="1">
      <c r="A9" s="64" t="n">
        <v>5</v>
      </c>
      <c r="B9" s="184" t="inlineStr">
        <is>
          <t>Construção: UC01, UC11, UC09 e UC10 (acesso e configuração do condomínio)</t>
        </is>
      </c>
      <c r="C9" s="185" t="n">
        <v>46307</v>
      </c>
      <c r="D9" s="185" t="n">
        <v>46318</v>
      </c>
      <c r="E9" s="186" t="n">
        <v>64</v>
      </c>
      <c r="F9" s="68" t="inlineStr">
        <is>
          <t>Planejado</t>
        </is>
      </c>
      <c r="G9" s="187" t="n"/>
      <c r="H9" s="187" t="n"/>
      <c r="I9" s="186" t="n"/>
      <c r="J9" s="188">
        <f>E9-I9</f>
        <v/>
      </c>
      <c r="K9" s="70" t="n"/>
    </row>
    <row r="10" ht="30.3" customHeight="1">
      <c r="A10" s="64" t="n">
        <v>6</v>
      </c>
      <c r="B10" s="184" t="inlineStr">
        <is>
          <t>Construção: UC07 e UC02 (cadastro de veículo e painel de vagas)</t>
        </is>
      </c>
      <c r="C10" s="185" t="n">
        <v>46321</v>
      </c>
      <c r="D10" s="185" t="n">
        <v>46332</v>
      </c>
      <c r="E10" s="186" t="n">
        <v>64</v>
      </c>
      <c r="F10" s="68" t="inlineStr">
        <is>
          <t>Planejado</t>
        </is>
      </c>
      <c r="G10" s="187" t="n"/>
      <c r="H10" s="187" t="n"/>
      <c r="I10" s="186" t="n"/>
      <c r="J10" s="188">
        <f>E10-I10</f>
        <v/>
      </c>
      <c r="K10" s="70" t="n"/>
    </row>
    <row r="11" ht="30.3" customHeight="1">
      <c r="A11" s="64" t="n">
        <v>7</v>
      </c>
      <c r="B11" s="184" t="inlineStr">
        <is>
          <t>Construção: UC05, UC08 e UC12 (encerramento, consumo do mês e sessão órfã)</t>
        </is>
      </c>
      <c r="C11" s="185" t="n">
        <v>46335</v>
      </c>
      <c r="D11" s="185" t="n">
        <v>46346</v>
      </c>
      <c r="E11" s="186" t="n">
        <v>64</v>
      </c>
      <c r="F11" s="68" t="inlineStr">
        <is>
          <t>Planejado</t>
        </is>
      </c>
      <c r="G11" s="187" t="n"/>
      <c r="H11" s="187" t="n"/>
      <c r="I11" s="186" t="n"/>
      <c r="J11" s="188">
        <f>E11-I11</f>
        <v/>
      </c>
      <c r="K11" s="70" t="n"/>
    </row>
    <row r="12" ht="30.3" customHeight="1">
      <c r="A12" s="64" t="n">
        <v>8</v>
      </c>
      <c r="B12" s="184" t="inlineStr">
        <is>
          <t>Construção: UC13 e UC14, testes de integração e Checklist da fase</t>
        </is>
      </c>
      <c r="C12" s="185" t="n">
        <v>46349</v>
      </c>
      <c r="D12" s="185" t="n">
        <v>46360</v>
      </c>
      <c r="E12" s="186" t="n">
        <v>64</v>
      </c>
      <c r="F12" s="68" t="inlineStr">
        <is>
          <t>Planejado</t>
        </is>
      </c>
      <c r="G12" s="187" t="n"/>
      <c r="H12" s="187" t="n"/>
      <c r="I12" s="186" t="n"/>
      <c r="J12" s="188">
        <f>E12-I12</f>
        <v/>
      </c>
      <c r="K12" s="70" t="inlineStr">
        <is>
          <t>v-3.0.0</t>
        </is>
      </c>
    </row>
    <row r="13" ht="30.3" customHeight="1">
      <c r="A13" s="64" t="n">
        <v>9</v>
      </c>
      <c r="B13" s="184" t="inlineStr">
        <is>
          <t>Transição: Roteiro e Massa de Teste, testes de sistema e correção de defeitos</t>
        </is>
      </c>
      <c r="C13" s="185" t="n">
        <v>46363</v>
      </c>
      <c r="D13" s="185" t="n">
        <v>46374</v>
      </c>
      <c r="E13" s="186" t="n">
        <v>64</v>
      </c>
      <c r="F13" s="68" t="inlineStr">
        <is>
          <t>Planejado</t>
        </is>
      </c>
      <c r="G13" s="187" t="n"/>
      <c r="H13" s="187" t="n"/>
      <c r="I13" s="186" t="n"/>
      <c r="J13" s="188">
        <f>E13-I13</f>
        <v/>
      </c>
      <c r="K13" s="70" t="n"/>
    </row>
    <row r="14" ht="30.3" customHeight="1">
      <c r="A14" s="64" t="n">
        <v>10</v>
      </c>
      <c r="B14" s="184" t="inlineStr">
        <is>
          <t>Transição: Guia de Implantação, Manual do Usuário, implantação e Checklist da fase</t>
        </is>
      </c>
      <c r="C14" s="185" t="n">
        <v>46377</v>
      </c>
      <c r="D14" s="185" t="n">
        <v>46402</v>
      </c>
      <c r="E14" s="186" t="n">
        <v>64</v>
      </c>
      <c r="F14" s="68" t="inlineStr">
        <is>
          <t>Planejado</t>
        </is>
      </c>
      <c r="G14" s="187" t="n"/>
      <c r="H14" s="187" t="n"/>
      <c r="I14" s="186" t="n"/>
      <c r="J14" s="188">
        <f>E14-I14</f>
        <v/>
      </c>
      <c r="K14" s="70" t="inlineStr">
        <is>
          <t>v-4.0.0</t>
        </is>
      </c>
    </row>
    <row r="15" ht="14.25" customHeight="1">
      <c r="A15" s="79" t="n"/>
      <c r="B15" s="80" t="n"/>
      <c r="C15" s="81" t="n"/>
      <c r="D15" s="80" t="n"/>
      <c r="E15" s="189">
        <f>SUM(E5:E14)</f>
        <v/>
      </c>
      <c r="F15" s="80" t="n"/>
      <c r="G15" s="83" t="n"/>
      <c r="H15" s="83" t="n"/>
      <c r="I15" s="189">
        <f>SUM(I5:I14)</f>
        <v/>
      </c>
      <c r="J15" s="190">
        <f>SUM(J5:J14)</f>
        <v/>
      </c>
      <c r="K15" s="83" t="n"/>
    </row>
    <row r="16" ht="12" customFormat="1" customHeight="1" s="6">
      <c r="J16" s="25" t="n"/>
    </row>
    <row r="17">
      <c r="A17" t="inlineStr">
        <is>
          <t>NOTA — A coluna PREVISTO/Horas registra a CAPACIDADE da equipe no sprint (4 integrantes × 8 h/semana × 2 semanas = 64 h).</t>
        </is>
      </c>
    </row>
    <row r="18">
      <c r="A18" t="inlineStr">
        <is>
          <t>Os sprints 1 e 2 usam 56 h por coincidirem com o início do semestre. Total planejado: 624 h.</t>
        </is>
      </c>
    </row>
    <row r="19">
      <c r="A19" t="inlineStr">
        <is>
          <t>NOTA — A Carga Horária Total (E2) traz o esforço ajustado da aba Planejamento (728 h). A diferença de 104 h em relação</t>
        </is>
      </c>
    </row>
    <row r="20">
      <c r="A20" t="inlineStr">
        <is>
          <t>às 624 h de capacidade é a exposição real do projeto ao prazo do semestre 2026.2 (RE-13) e está registrada como risco RI-12.</t>
        </is>
      </c>
    </row>
    <row r="21">
      <c r="A21" t="inlineStr">
        <is>
          <t>NOTA — As colunas do bloco REALIZADO são preenchidas na Reunião de Revisão do Sprint, à medida que cada sprint encerra.</t>
        </is>
      </c>
    </row>
  </sheetData>
  <mergeCells count="5">
    <mergeCell ref="C3:E3"/>
    <mergeCell ref="G2:J2"/>
    <mergeCell ref="G3:I3"/>
    <mergeCell ref="A2:D2"/>
    <mergeCell ref="A1:K1"/>
  </mergeCells>
  <conditionalFormatting sqref="F5:F14">
    <cfRule type="cellIs" priority="3" operator="equal" dxfId="9" stopIfTrue="1">
      <formula>"Unplanned"</formula>
    </cfRule>
    <cfRule type="expression" priority="2" dxfId="6" stopIfTrue="1">
      <formula>$F5="Ongoing"</formula>
    </cfRule>
    <cfRule type="expression" priority="1" dxfId="3" stopIfTrue="1">
      <formula>$F5="Planned"</formula>
    </cfRule>
  </conditionalFormatting>
  <conditionalFormatting sqref="A5:D14">
    <cfRule type="expression" priority="7" dxfId="6" stopIfTrue="1">
      <formula>$F5="Ongoing"</formula>
    </cfRule>
    <cfRule type="expression" priority="6" dxfId="3" stopIfTrue="1">
      <formula>OR($F5="Planned",$F5="Unplanned")</formula>
    </cfRule>
  </conditionalFormatting>
  <conditionalFormatting sqref="G5:H14">
    <cfRule type="expression" priority="5" dxfId="6" stopIfTrue="1">
      <formula>$F5="Ongoing"</formula>
    </cfRule>
    <cfRule type="expression" priority="4" dxfId="3" stopIfTrue="1">
      <formula>OR($F5="Planned",$F5="Unplanned")</formula>
    </cfRule>
  </conditionalFormatting>
  <dataValidations count="1">
    <dataValidation sqref="F5:F14" showDropDown="0" showInputMessage="1" showErrorMessage="1" allowBlank="1" type="list">
      <formula1>"Planejado,Em execução,Entregue,Não planejado"</formula1>
    </dataValidation>
  </dataValidations>
  <pageMargins left="0.511811023622047" right="0.511811023622047" top="1.181102362204725" bottom="1.181102362204725" header="0.78740157480315" footer="0.78740157480315"/>
  <pageSetup orientation="portrait" paperSize="0" fitToHeight="0" fitToWidth="0" horizontalDpi="0" verticalDpi="0" copies="0"/>
</worksheet>
</file>

<file path=xl/worksheets/sheet5.xml><?xml version="1.0" encoding="utf-8"?>
<worksheet xmlns="http://schemas.openxmlformats.org/spreadsheetml/2006/main">
  <sheetPr>
    <outlinePr summaryBelow="1" summaryRight="1"/>
    <pageSetUpPr/>
  </sheetPr>
  <dimension ref="A1:K64"/>
  <sheetViews>
    <sheetView workbookViewId="0">
      <selection activeCell="A1" sqref="A1"/>
    </sheetView>
  </sheetViews>
  <sheetFormatPr baseColWidth="8" defaultRowHeight="10.5"/>
  <cols>
    <col width="5.625" customWidth="1" style="91" min="1" max="1"/>
    <col width="35.625" customWidth="1" style="91" min="2" max="2"/>
    <col width="6.5" customWidth="1" style="91" min="3" max="3"/>
    <col width="13.25" customWidth="1" style="91" min="4" max="4"/>
    <col width="8.875" customWidth="1" style="91" min="5" max="5"/>
    <col width="12.5" customWidth="1" style="91" min="6" max="6"/>
    <col width="9.125" customWidth="1" style="91" min="7" max="7"/>
    <col width="12.25" customWidth="1" style="91" min="8" max="9"/>
    <col width="24.25" customWidth="1" style="91" min="10" max="10"/>
    <col width="27.875" customWidth="1" style="91" min="11" max="11"/>
    <col width="8.5" customWidth="1" style="91" min="12" max="12"/>
    <col width="20.5" customWidth="1" style="91" min="13" max="14"/>
    <col width="8.5" customWidth="1" style="91" min="15" max="256"/>
    <col width="6.5" customWidth="1" style="91" min="257" max="258"/>
    <col width="13.875" customWidth="1" style="91" min="259" max="259"/>
    <col width="9" customWidth="1" style="91" min="260" max="260"/>
    <col width="13.5" customWidth="1" style="91" min="261" max="261"/>
    <col width="10" customWidth="1" style="91" min="262" max="262"/>
    <col width="12.25" customWidth="1" style="91" min="263" max="263"/>
    <col width="5.875" customWidth="1" style="91" min="264" max="264"/>
    <col width="24.25" customWidth="1" style="91" min="265" max="265"/>
    <col width="32.5" customWidth="1" style="91" min="266" max="266"/>
    <col width="17.625" customWidth="1" style="91" min="267" max="267"/>
    <col width="8.5" customWidth="1" style="91" min="268" max="268"/>
    <col width="20.5" customWidth="1" style="91" min="269" max="270"/>
    <col width="8.5" customWidth="1" style="91" min="271" max="512"/>
    <col width="6.5" customWidth="1" style="91" min="513" max="514"/>
    <col width="13.875" customWidth="1" style="91" min="515" max="515"/>
    <col width="9" customWidth="1" style="91" min="516" max="516"/>
    <col width="13.5" customWidth="1" style="91" min="517" max="517"/>
    <col width="10" customWidth="1" style="91" min="518" max="518"/>
    <col width="12.25" customWidth="1" style="91" min="519" max="519"/>
    <col width="5.875" customWidth="1" style="91" min="520" max="520"/>
    <col width="24.25" customWidth="1" style="91" min="521" max="521"/>
    <col width="32.5" customWidth="1" style="91" min="522" max="522"/>
    <col width="17.625" customWidth="1" style="91" min="523" max="523"/>
    <col width="8.5" customWidth="1" style="91" min="524" max="524"/>
    <col width="20.5" customWidth="1" style="91" min="525" max="526"/>
    <col width="8.5" customWidth="1" style="91" min="527" max="768"/>
    <col width="6.5" customWidth="1" style="91" min="769" max="770"/>
    <col width="13.875" customWidth="1" style="91" min="771" max="771"/>
    <col width="9" customWidth="1" style="91" min="772" max="772"/>
    <col width="13.5" customWidth="1" style="91" min="773" max="773"/>
    <col width="10" customWidth="1" style="91" min="774" max="774"/>
    <col width="12.25" customWidth="1" style="91" min="775" max="775"/>
    <col width="5.875" customWidth="1" style="91" min="776" max="776"/>
    <col width="24.25" customWidth="1" style="91" min="777" max="777"/>
    <col width="32.5" customWidth="1" style="91" min="778" max="778"/>
    <col width="17.625" customWidth="1" style="91" min="779" max="779"/>
    <col width="8.5" customWidth="1" style="91" min="780" max="780"/>
    <col width="20.5" customWidth="1" style="91" min="781" max="782"/>
    <col width="8.5" customWidth="1" style="91" min="783" max="1024"/>
    <col width="9" customWidth="1" min="1025" max="1025"/>
  </cols>
  <sheetData>
    <row r="1" ht="21" customFormat="1" customHeight="1" s="90">
      <c r="A1" s="86" t="inlineStr">
        <is>
          <t>Lista de Riscos</t>
        </is>
      </c>
      <c r="B1" s="170" t="n"/>
      <c r="C1" s="170" t="n"/>
      <c r="D1" s="170" t="n"/>
      <c r="E1" s="170" t="n"/>
      <c r="F1" s="170" t="n"/>
      <c r="G1" s="170" t="n"/>
      <c r="H1" s="170" t="n"/>
      <c r="I1" s="170" t="n"/>
      <c r="J1" s="170" t="n"/>
      <c r="K1" s="170" t="n"/>
    </row>
    <row r="2" hidden="1" ht="14.25" customHeight="1"/>
    <row r="3" hidden="1" ht="14.25" customHeight="1">
      <c r="D3" s="92" t="inlineStr">
        <is>
          <t>Categorias</t>
        </is>
      </c>
    </row>
    <row r="4" hidden="1" ht="22.5" customHeight="1">
      <c r="D4" s="93" t="inlineStr">
        <is>
          <t>Gestão - Organização</t>
        </is>
      </c>
    </row>
    <row r="5" hidden="1" ht="14.25" customHeight="1">
      <c r="D5" s="93" t="inlineStr">
        <is>
          <t>Gestão - Orçamento</t>
        </is>
      </c>
    </row>
    <row r="6" hidden="1" ht="14.25" customHeight="1">
      <c r="D6" s="93" t="inlineStr">
        <is>
          <t>Gestão - Prazo</t>
        </is>
      </c>
    </row>
    <row r="7" hidden="1" ht="22.5" customHeight="1">
      <c r="D7" s="93" t="inlineStr">
        <is>
          <t>Gestão - Recursos Humanos</t>
        </is>
      </c>
    </row>
    <row r="8" hidden="1" ht="14.25" customHeight="1">
      <c r="D8" s="93" t="inlineStr">
        <is>
          <t>Gestão - Processo</t>
        </is>
      </c>
    </row>
    <row r="9" hidden="1" ht="14.25" customHeight="1">
      <c r="D9" s="93" t="inlineStr">
        <is>
          <t>Gestão - Ambiente</t>
        </is>
      </c>
    </row>
    <row r="10" hidden="1" ht="14.25" customHeight="1">
      <c r="D10" s="93" t="inlineStr">
        <is>
          <t>Técnico - Requisitos</t>
        </is>
      </c>
    </row>
    <row r="11" hidden="1" ht="22.5" customHeight="1">
      <c r="D11" s="93" t="inlineStr">
        <is>
          <t>Técnico - Tecnologia</t>
        </is>
      </c>
    </row>
    <row r="12" hidden="1" ht="14.25" customHeight="1">
      <c r="D12" s="93" t="inlineStr">
        <is>
          <t>Externo - Cliente</t>
        </is>
      </c>
    </row>
    <row r="13" hidden="1" ht="22.5" customHeight="1">
      <c r="D13" s="93" t="inlineStr">
        <is>
          <t>Externo - Subcontratação</t>
        </is>
      </c>
    </row>
    <row r="14" hidden="1" ht="22.5" customHeight="1">
      <c r="D14" s="92" t="inlineStr">
        <is>
          <t>Probabilidade/Perda Esperada</t>
        </is>
      </c>
    </row>
    <row r="15" hidden="1" ht="14.25" customHeight="1">
      <c r="D15" s="93" t="inlineStr">
        <is>
          <t>Baixa</t>
        </is>
      </c>
    </row>
    <row r="16" hidden="1" ht="14.25" customHeight="1">
      <c r="D16" s="93" t="inlineStr">
        <is>
          <t>Média</t>
        </is>
      </c>
    </row>
    <row r="17" hidden="1" ht="14.25" customHeight="1">
      <c r="D17" s="93" t="inlineStr">
        <is>
          <t>Alta</t>
        </is>
      </c>
    </row>
    <row r="18" hidden="1" ht="14.25" customHeight="1">
      <c r="D18" s="92" t="inlineStr">
        <is>
          <t>Impacto</t>
        </is>
      </c>
    </row>
    <row r="19" hidden="1" ht="14.25" customHeight="1">
      <c r="D19" s="93" t="inlineStr">
        <is>
          <t>Baixo</t>
        </is>
      </c>
    </row>
    <row r="20" hidden="1" ht="14.25" customHeight="1">
      <c r="D20" s="93" t="inlineStr">
        <is>
          <t>Médio</t>
        </is>
      </c>
    </row>
    <row r="21" hidden="1" ht="14.25" customHeight="1">
      <c r="D21" s="93" t="inlineStr">
        <is>
          <t>Alto</t>
        </is>
      </c>
    </row>
    <row r="22" hidden="1" ht="14.25" customHeight="1">
      <c r="D22" s="92" t="inlineStr">
        <is>
          <t>Situação</t>
        </is>
      </c>
    </row>
    <row r="23" hidden="1" ht="14.25" customHeight="1">
      <c r="D23" s="93" t="inlineStr">
        <is>
          <t>Ativo</t>
        </is>
      </c>
    </row>
    <row r="24" hidden="1" ht="14.25" customHeight="1">
      <c r="D24" s="93" t="inlineStr">
        <is>
          <t>Em Mitigação</t>
        </is>
      </c>
    </row>
    <row r="25" hidden="1" ht="14.25" customHeight="1">
      <c r="D25" s="93" t="inlineStr">
        <is>
          <t>Ocorrido</t>
        </is>
      </c>
    </row>
    <row r="26" hidden="1" ht="14.25" customHeight="1">
      <c r="D26" s="93" t="inlineStr">
        <is>
          <t>Inativo</t>
        </is>
      </c>
    </row>
    <row r="27" hidden="1" ht="14.25" customHeight="1">
      <c r="D27" s="92" t="inlineStr">
        <is>
          <t>Estratégia</t>
        </is>
      </c>
    </row>
    <row r="28" hidden="1" ht="14.25" customHeight="1">
      <c r="D28" s="93" t="inlineStr">
        <is>
          <t>Eliminação</t>
        </is>
      </c>
    </row>
    <row r="29" hidden="1" ht="14.25" customHeight="1">
      <c r="D29" s="93" t="inlineStr">
        <is>
          <t>Transferência</t>
        </is>
      </c>
    </row>
    <row r="30" hidden="1" ht="14.25" customHeight="1">
      <c r="D30" s="93" t="inlineStr">
        <is>
          <t>Mitigação</t>
        </is>
      </c>
    </row>
    <row r="31" hidden="1" ht="11.25" customFormat="1" customHeight="1" s="94">
      <c r="D31" s="95" t="inlineStr">
        <is>
          <t>Aceitação ativa</t>
        </is>
      </c>
    </row>
    <row r="32" hidden="1" ht="14.25" customHeight="1">
      <c r="D32" s="96" t="inlineStr">
        <is>
          <t>Aceitação passiva</t>
        </is>
      </c>
    </row>
    <row r="33" hidden="1" ht="22.5" customHeight="1">
      <c r="D33" s="110" t="inlineStr">
        <is>
          <t>Valores Perda Esperada</t>
        </is>
      </c>
      <c r="E33" s="167" t="n"/>
    </row>
    <row r="34" hidden="1" ht="14.25" customHeight="1">
      <c r="D34" s="93" t="n">
        <v>4290</v>
      </c>
      <c r="E34" s="93" t="inlineStr">
        <is>
          <t>Baixo &amp; Alto</t>
        </is>
      </c>
    </row>
    <row r="35" hidden="1" ht="22.5" customHeight="1">
      <c r="D35" s="93" t="n">
        <v>5082</v>
      </c>
      <c r="E35" s="93" t="inlineStr">
        <is>
          <t>Baixo &amp; Medio</t>
        </is>
      </c>
    </row>
    <row r="36" hidden="1" ht="22.5" customHeight="1">
      <c r="D36" s="93" t="n">
        <v>4356</v>
      </c>
      <c r="E36" s="93" t="inlineStr">
        <is>
          <t>Baixo &amp; Baixo</t>
        </is>
      </c>
    </row>
    <row r="37" hidden="1" ht="22.5" customHeight="1">
      <c r="D37" s="93" t="n">
        <v>5929</v>
      </c>
      <c r="E37" s="93" t="inlineStr">
        <is>
          <t>Médio &amp; Médio</t>
        </is>
      </c>
    </row>
    <row r="38" hidden="1" ht="14.25" customHeight="1">
      <c r="D38" s="93" t="n">
        <v>5005</v>
      </c>
      <c r="E38" s="93" t="inlineStr">
        <is>
          <t>Médio &amp; Alto</t>
        </is>
      </c>
    </row>
    <row r="39" hidden="1" ht="14.25" customHeight="1">
      <c r="D39" s="93" t="n">
        <v>4225</v>
      </c>
      <c r="E39" s="93" t="inlineStr">
        <is>
          <t>Alto &amp; Alto</t>
        </is>
      </c>
    </row>
    <row r="40" ht="8.25" customHeight="1"/>
    <row r="41" ht="12.75" customFormat="1" customHeight="1" s="90">
      <c r="A41" s="111" t="inlineStr">
        <is>
          <t>Instruções de Preenchimento</t>
        </is>
      </c>
      <c r="B41" s="166" t="n"/>
      <c r="C41" s="166" t="n"/>
      <c r="D41" s="166" t="n"/>
      <c r="E41" s="166" t="n"/>
      <c r="F41" s="166" t="n"/>
      <c r="G41" s="166" t="n"/>
      <c r="H41" s="166" t="n"/>
      <c r="I41" s="166" t="n"/>
      <c r="J41" s="166" t="n"/>
      <c r="K41" s="167" t="n"/>
    </row>
    <row r="42" ht="12.75" customFormat="1" customHeight="1" s="90">
      <c r="A42" s="112" t="inlineStr">
        <is>
          <t>As colunas em amarelo escuro são prenchidas durante a identificação do risco e normalmente não são alteradas durante a execução do projeto.</t>
        </is>
      </c>
      <c r="B42" s="166" t="n"/>
      <c r="C42" s="166" t="n"/>
      <c r="D42" s="166" t="n"/>
      <c r="E42" s="166" t="n"/>
      <c r="F42" s="166" t="n"/>
      <c r="G42" s="166" t="n"/>
      <c r="H42" s="166" t="n"/>
      <c r="I42" s="166" t="n"/>
      <c r="J42" s="166" t="n"/>
      <c r="K42" s="167" t="n"/>
    </row>
    <row r="43" ht="15" customFormat="1" customHeight="1" s="90">
      <c r="A43" s="113" t="inlineStr">
        <is>
          <t>As colunas em amarelo claro são preenchidas durante a avaliação qualitativa dos riscos e periodicamente revisadas durante as reuniões de revisão do processo.</t>
        </is>
      </c>
      <c r="B43" s="166" t="n"/>
      <c r="C43" s="166" t="n"/>
      <c r="D43" s="166" t="n"/>
      <c r="E43" s="166" t="n"/>
      <c r="F43" s="166" t="n"/>
      <c r="G43" s="166" t="n"/>
      <c r="H43" s="166" t="n"/>
      <c r="I43" s="166" t="n"/>
      <c r="J43" s="166" t="n"/>
      <c r="K43" s="167" t="n"/>
    </row>
    <row r="44" ht="15.75" customFormat="1" customHeight="1" s="90">
      <c r="A44" s="114" t="inlineStr">
        <is>
          <t>As células em branco contém fórmulas e não devem ser editadas</t>
        </is>
      </c>
      <c r="B44" s="166" t="n"/>
      <c r="C44" s="166" t="n"/>
      <c r="D44" s="166" t="n"/>
      <c r="E44" s="166" t="n"/>
      <c r="F44" s="166" t="n"/>
      <c r="G44" s="166" t="n"/>
      <c r="H44" s="166" t="n"/>
      <c r="I44" s="166" t="n"/>
      <c r="J44" s="166" t="n"/>
      <c r="K44" s="167" t="n"/>
    </row>
    <row r="45" ht="9" customHeight="1"/>
    <row r="46" ht="15" customHeight="1">
      <c r="A46" s="115" t="inlineStr">
        <is>
          <t>Riscos do Projeto</t>
        </is>
      </c>
      <c r="B46" s="170" t="n"/>
      <c r="C46" s="170" t="n"/>
      <c r="D46" s="170" t="n"/>
      <c r="E46" s="170" t="n"/>
      <c r="F46" s="170" t="n"/>
      <c r="G46" s="170" t="n"/>
      <c r="H46" s="170" t="n"/>
      <c r="I46" s="170" t="n"/>
      <c r="J46" s="170" t="n"/>
      <c r="K46" s="170" t="n"/>
    </row>
    <row r="47" ht="12.75" customFormat="1" customHeight="1" s="99">
      <c r="A47" s="97" t="inlineStr">
        <is>
          <t>ID</t>
        </is>
      </c>
      <c r="B47" s="98" t="n"/>
      <c r="C47" s="116" t="inlineStr">
        <is>
          <t>Identificação</t>
        </is>
      </c>
      <c r="D47" s="166" t="n"/>
      <c r="E47" s="166" t="n"/>
      <c r="F47" s="166" t="n"/>
      <c r="G47" s="166" t="n"/>
      <c r="H47" s="166" t="n"/>
      <c r="I47" s="166" t="n"/>
      <c r="J47" s="166" t="n"/>
      <c r="K47" s="167" t="n"/>
    </row>
    <row r="48" ht="11.25" customFormat="1" customHeight="1" s="101">
      <c r="A48" s="117" t="n"/>
      <c r="B48" s="118" t="inlineStr">
        <is>
          <t>Descrição do Risco</t>
        </is>
      </c>
      <c r="C48" s="118" t="inlineStr">
        <is>
          <t>Data</t>
        </is>
      </c>
      <c r="D48" s="118" t="inlineStr">
        <is>
          <t>Probabilidade</t>
        </is>
      </c>
      <c r="E48" s="118" t="inlineStr">
        <is>
          <t>Impacto</t>
        </is>
      </c>
      <c r="F48" s="118" t="inlineStr">
        <is>
          <t>Perda Esperada</t>
        </is>
      </c>
      <c r="G48" s="118" t="inlineStr">
        <is>
          <t>Situação</t>
        </is>
      </c>
      <c r="H48" s="119" t="inlineStr">
        <is>
          <t>Estratégia de Resposta</t>
        </is>
      </c>
      <c r="I48" s="166" t="n"/>
      <c r="J48" s="166" t="n"/>
      <c r="K48" s="166" t="n"/>
    </row>
    <row r="49" ht="11.25" customFormat="1" customHeight="1" s="101">
      <c r="A49" s="191" t="n"/>
      <c r="B49" s="191" t="n"/>
      <c r="C49" s="191" t="n"/>
      <c r="D49" s="191" t="n"/>
      <c r="E49" s="191" t="n"/>
      <c r="F49" s="191" t="n"/>
      <c r="G49" s="191" t="n"/>
      <c r="H49" s="118" t="inlineStr">
        <is>
          <t>Plano de Eliminação</t>
        </is>
      </c>
      <c r="I49" s="167" t="n"/>
      <c r="J49" s="118" t="inlineStr">
        <is>
          <t>Plano de Mitigação</t>
        </is>
      </c>
      <c r="K49" s="118" t="inlineStr">
        <is>
          <t>Plano de Contingência</t>
        </is>
      </c>
    </row>
    <row r="50" ht="133.5" customFormat="1" customHeight="1" s="101">
      <c r="A50" s="192" t="inlineStr">
        <is>
          <t>RI-01</t>
        </is>
      </c>
      <c r="B50" s="193" t="inlineStr">
        <is>
          <t>Dados de veículo cadastrados incorretamente — capacidade da bateria ou potência máxima informadas de forma equivocada pelo morador.</t>
        </is>
      </c>
      <c r="C50" s="194" t="n">
        <v>46261</v>
      </c>
      <c r="D50" s="105" t="inlineStr">
        <is>
          <t>Média</t>
        </is>
      </c>
      <c r="E50" s="105" t="inlineStr">
        <is>
          <t>Médio</t>
        </is>
      </c>
      <c r="F50" s="106">
        <f>IF(OR((CODE($D50)*CODE($E50))=$D$36,(CODE($D50)*CODE($E50))=$D$35),$D$15,IF(OR((CODE($D50)*CODE($E50))=$D$34,(CODE($D50)*CODE($E50))=$D$37),$D$16,IF(OR((CODE($D50)*CODE($E50))=$D$38,(CODE($D50)*CODE($E50))=$D$39),$D$17,0)))</f>
        <v/>
      </c>
      <c r="G50" s="105" t="inlineStr">
        <is>
          <t>Ativo</t>
        </is>
      </c>
      <c r="H50" s="120" t="n"/>
      <c r="I50" s="167" t="n"/>
      <c r="J50" s="107" t="inlineStr">
        <is>
          <t>Cadastro do veículo feito uma única vez e visível ao síndico, que pode confrontá-lo com o documento do veículo. O sistema exibe a energia estimada ao morador no encerramento de cada sessão (UC05), permitindo contestação imediata.</t>
        </is>
      </c>
      <c r="K50" s="107" t="inlineStr">
        <is>
          <t>1. Síndico revisa o cadastro do morador contra o documento do veículo
2. Corrigir o cadastro e reapurar as sessões do período ainda não fechado</t>
        </is>
      </c>
    </row>
    <row r="51" ht="172.2" customFormat="1" customHeight="1" s="101">
      <c r="A51" s="192" t="inlineStr">
        <is>
          <t>RI-02</t>
        </is>
      </c>
      <c r="B51" s="193" t="inlineStr">
        <is>
          <t>Uso do carregador sem registro de sessão — o morador pluga o veículo sem abrir sessão no sistema.</t>
        </is>
      </c>
      <c r="C51" s="194" t="n">
        <v>46261</v>
      </c>
      <c r="D51" s="105" t="inlineStr">
        <is>
          <t>Média</t>
        </is>
      </c>
      <c r="E51" s="105" t="inlineStr">
        <is>
          <t>Alto</t>
        </is>
      </c>
      <c r="F51" s="106">
        <f>IF(OR((CODE($D51)*CODE($E51))=$D$36,(CODE($D51)*CODE($E51))=$D$35),$D$15,IF(OR((CODE($D51)*CODE($E51))=$D$34,(CODE($D51)*CODE($E51))=$D$37),$D$16,IF(OR((CODE($D51)*CODE($E51))=$D$38,(CODE($D51)*CODE($E51))=$D$39),$D$17,0)))</f>
        <v/>
      </c>
      <c r="G51" s="105" t="inlineStr">
        <is>
          <t>Ativo</t>
        </is>
      </c>
      <c r="H51" s="108" t="n"/>
      <c r="I51" s="166" t="n"/>
      <c r="J51" s="107" t="inlineStr">
        <is>
          <t>O painel (UC02) permite conferência visual entre as vagas exibidas como livres e as efetivamente ocupadas. O confronto entre o total apurado no fechamento (UC13) e a conta de luz da área comum revela consumo não registrado. Comunidade fechada e identificada: o controle social é instrumento relevante.</t>
        </is>
      </c>
      <c r="K51" s="107" t="inlineStr">
        <is>
          <t>1. Levar a divergência à assembleia
2. Deliberar rateio proporcional do consumo não registrado
3. Avaliar carregador com gestão remota (fora do escopo — seção 4.4 do Visão)</t>
        </is>
      </c>
    </row>
    <row r="52" ht="107.7" customFormat="1" customHeight="1" s="101">
      <c r="A52" s="192" t="inlineStr">
        <is>
          <t>RI-03</t>
        </is>
      </c>
      <c r="B52" s="193" t="inlineStr">
        <is>
          <t>Sessão órfã — o morador retira o veículo sem encerrar a sessão.</t>
        </is>
      </c>
      <c r="C52" s="194" t="n">
        <v>46261</v>
      </c>
      <c r="D52" s="105" t="inlineStr">
        <is>
          <t>Alta</t>
        </is>
      </c>
      <c r="E52" s="105" t="inlineStr">
        <is>
          <t>Médio</t>
        </is>
      </c>
      <c r="F52" s="106">
        <f>IF(OR((CODE($D52)*CODE($E52))=$D$36,(CODE($D52)*CODE($E52))=$D$35),$D$15,IF(OR((CODE($D52)*CODE($E52))=$D$34,(CODE($D52)*CODE($E52))=$D$37),$D$16,IF(OR((CODE($D52)*CODE($E52))=$D$38,(CODE($D52)*CODE($E52))=$D$39),$D$17,0)))</f>
        <v/>
      </c>
      <c r="G52" s="105" t="inlineStr">
        <is>
          <t>Ativo</t>
        </is>
      </c>
      <c r="H52" s="108" t="n"/>
      <c r="I52" s="166" t="n"/>
      <c r="J52" s="107" t="inlineStr">
        <is>
          <t>O painel sinaliza as sessões abertas além do tempo estimado de conclusão. A energia estimada é limitada pela energia que faltava na bateria, impedindo que a apuração cresça indefinidamente.</t>
        </is>
      </c>
      <c r="K52" s="107" t="inlineStr">
        <is>
          <t>1. Síndico encerra administrativamente pelo UC12, com registro do responsável e do horário
2. Morador contesta o valor apurado com base nesse registro</t>
        </is>
      </c>
    </row>
    <row r="53" ht="133.5" customFormat="1" customHeight="1" s="101">
      <c r="A53" s="192" t="inlineStr">
        <is>
          <t>RI-04</t>
        </is>
      </c>
      <c r="B53" s="193" t="inlineStr">
        <is>
          <t>Ocupação da vaga após a conclusão da recarga — o veículo permanece plugado depois de carregado.</t>
        </is>
      </c>
      <c r="C53" s="194" t="n">
        <v>46261</v>
      </c>
      <c r="D53" s="105" t="inlineStr">
        <is>
          <t>Alta</t>
        </is>
      </c>
      <c r="E53" s="105" t="inlineStr">
        <is>
          <t>Médio</t>
        </is>
      </c>
      <c r="F53" s="106">
        <f>IF(OR((CODE($D53)*CODE($E53))=$D$36,(CODE($D53)*CODE($E53))=$D$35),$D$15,IF(OR((CODE($D53)*CODE($E53))=$D$34,(CODE($D53)*CODE($E53))=$D$37),$D$16,IF(OR((CODE($D53)*CODE($E53))=$D$38,(CODE($D53)*CODE($E53))=$D$39),$D$17,0)))</f>
        <v/>
      </c>
      <c r="G53" s="105" t="inlineStr">
        <is>
          <t>Ativo</t>
        </is>
      </c>
      <c r="H53" s="108" t="n"/>
      <c r="I53" s="166" t="n"/>
      <c r="J53" s="107" t="inlineStr">
        <is>
          <t>ACEITAR, com mitigação parcial. Removido o agendamento, o instrumento de rotatividade é apenas a duração máxima (RE-11) e a sinalização no painel. Como a energia é limitada pela carga que faltava, permanecer na vaga não tem custo.</t>
        </is>
      </c>
      <c r="K53" s="107" t="inlineStr">
        <is>
          <t>1. Levar a demanda reprimida medida no UC14 à assembleia
2. Tratar por instrumento de convivência do condomínio, fora do sistema
3. Ampliar a estrutura de vagas com carregador</t>
        </is>
      </c>
    </row>
    <row r="54" ht="107.7" customFormat="1" customHeight="1" s="101">
      <c r="A54" s="192" t="inlineStr">
        <is>
          <t>RI-05</t>
        </is>
      </c>
      <c r="B54" s="193" t="inlineStr">
        <is>
          <t>Divergência entre o total apurado e a conta de luz da área comum — a soma das estimativas não fecha com o consumo real medido pela concessionária.</t>
        </is>
      </c>
      <c r="C54" s="194" t="n">
        <v>46261</v>
      </c>
      <c r="D54" s="105" t="inlineStr">
        <is>
          <t>Alta</t>
        </is>
      </c>
      <c r="E54" s="105" t="inlineStr">
        <is>
          <t>Alto</t>
        </is>
      </c>
      <c r="F54" s="106">
        <f>IF(OR((CODE($D54)*CODE($E54))=$D$36,(CODE($D54)*CODE($E54))=$D$35),$D$15,IF(OR((CODE($D54)*CODE($E54))=$D$34,(CODE($D54)*CODE($E54))=$D$37),$D$16,IF(OR((CODE($D54)*CODE($E54))=$D$38,(CODE($D54)*CODE($E54))=$D$39),$D$17,0)))</f>
        <v/>
      </c>
      <c r="G54" s="105" t="inlineStr">
        <is>
          <t>Ativo</t>
        </is>
      </c>
      <c r="H54" s="108" t="n"/>
      <c r="I54" s="166" t="n"/>
      <c r="J54" s="107" t="inlineStr">
        <is>
          <t>A apuração é por estimativa e assim deve ser apresentada. O fechamento do mês (UC13) exibe o total estimado do período, permitindo ao síndico compará-lo com a conta.</t>
        </is>
      </c>
      <c r="K54" s="107" t="inlineStr">
        <is>
          <t>1. Aplicar critério de ajuste proporcional, se a assembleia deliberar
2. Registrar a divergência no histórico
3. Avaliar medição no carregador (fora do escopo — seção 4.4 do Visão)</t>
        </is>
      </c>
    </row>
    <row r="55" ht="107.7" customFormat="1" customHeight="1" s="101">
      <c r="A55" s="192" t="inlineStr">
        <is>
          <t>RI-06</t>
        </is>
      </c>
      <c r="B55" s="193" t="inlineStr">
        <is>
          <t>Indisponibilidade dos integrantes da equipe — conciliação com as demais disciplinas do semestre.</t>
        </is>
      </c>
      <c r="C55" s="194" t="n">
        <v>46261</v>
      </c>
      <c r="D55" s="105" t="inlineStr">
        <is>
          <t>Alta</t>
        </is>
      </c>
      <c r="E55" s="105" t="inlineStr">
        <is>
          <t>Alto</t>
        </is>
      </c>
      <c r="F55" s="106">
        <f>IF(OR((CODE($D55)*CODE($E55))=$D$36,(CODE($D55)*CODE($E55))=$D$35),$D$15,IF(OR((CODE($D55)*CODE($E55))=$D$34,(CODE($D55)*CODE($E55))=$D$37),$D$16,IF(OR((CODE($D55)*CODE($E55))=$D$38,(CODE($D55)*CODE($E55))=$D$39),$D$17,0)))</f>
        <v/>
      </c>
      <c r="G55" s="105" t="inlineStr">
        <is>
          <t>Ativo</t>
        </is>
      </c>
      <c r="H55" s="108" t="n"/>
      <c r="I55" s="166" t="n"/>
      <c r="J55" s="107" t="inlineStr">
        <is>
          <t>Planejamento com entregas incrementais por Sprint, Reunião de Revisão do Planejamento antes de cada Sprint e acompanhamento diário pelo Quadro de Tarefas (GitHub Projects).</t>
        </is>
      </c>
      <c r="K55" s="107" t="inlineStr">
        <is>
          <t>1. Repriorizar o Backlog por VRDC, entregando primeiro o de maior peso
2. Ampliar a jornada semanal nos sprints finais
3. Negociar redução de escopo com o Product Owner via Requisição de Mudança</t>
        </is>
      </c>
    </row>
    <row r="56" ht="133.5" customFormat="1" customHeight="1" s="101">
      <c r="A56" s="192" t="inlineStr">
        <is>
          <t>RI-07</t>
        </is>
      </c>
      <c r="B56" s="193" t="inlineStr">
        <is>
          <t>Ausência de cliente real para validação dos requisitos (RE-16).</t>
        </is>
      </c>
      <c r="C56" s="194" t="n">
        <v>46261</v>
      </c>
      <c r="D56" s="105" t="inlineStr">
        <is>
          <t>Alta</t>
        </is>
      </c>
      <c r="E56" s="105" t="inlineStr">
        <is>
          <t>Médio</t>
        </is>
      </c>
      <c r="F56" s="106">
        <f>IF(OR((CODE($D56)*CODE($E56))=$D$36,(CODE($D56)*CODE($E56))=$D$35),$D$15,IF(OR((CODE($D56)*CODE($E56))=$D$34,(CODE($D56)*CODE($E56))=$D$37),$D$16,IF(OR((CODE($D56)*CODE($E56))=$D$38,(CODE($D56)*CODE($E56))=$D$39),$D$17,0)))</f>
        <v/>
      </c>
      <c r="G56" s="105" t="inlineStr">
        <is>
          <t>Em Mitigação</t>
        </is>
      </c>
      <c r="H56" s="108" t="n"/>
      <c r="I56" s="166" t="n"/>
      <c r="J56" s="107" t="inlineStr">
        <is>
          <t>Registro explícito das premissas assumidas no documento Visão; validação do escopo (item 11 do Checklist) e do planejamento (item 28) pelo Product Owner, que atua como representante do cliente; revisão dos requisitos a cada Sprint.</t>
        </is>
      </c>
      <c r="K56" s="107" t="inlineStr">
        <is>
          <t>1. Revisar as premissas na Reunião de Revisão do Sprint
2. Abrir Requisição de Mudança quando uma premissa se mostrar incorreta</t>
        </is>
      </c>
    </row>
    <row r="57" ht="94.8" customFormat="1" customHeight="1" s="101">
      <c r="A57" s="192" t="inlineStr">
        <is>
          <t>RI-08</t>
        </is>
      </c>
      <c r="B57" s="193" t="inlineStr">
        <is>
          <t>Complexidade subestimada do cálculo de previsão e de apuração — regras de potência efetiva e de limite de energia mais complexas do que o previsto.</t>
        </is>
      </c>
      <c r="C57" s="194" t="n">
        <v>46261</v>
      </c>
      <c r="D57" s="105" t="inlineStr">
        <is>
          <t>Média</t>
        </is>
      </c>
      <c r="E57" s="105" t="inlineStr">
        <is>
          <t>Alto</t>
        </is>
      </c>
      <c r="F57" s="106">
        <f>IF(OR((CODE($D57)*CODE($E57))=$D$36,(CODE($D57)*CODE($E57))=$D$35),$D$15,IF(OR((CODE($D57)*CODE($E57))=$D$34,(CODE($D57)*CODE($E57))=$D$37),$D$16,IF(OR((CODE($D57)*CODE($E57))=$D$38,(CODE($D57)*CODE($E57))=$D$39),$D$17,0)))</f>
        <v/>
      </c>
      <c r="G57" s="105" t="inlineStr">
        <is>
          <t>Ativo</t>
        </is>
      </c>
      <c r="H57" s="108" t="n"/>
      <c r="I57" s="166" t="n"/>
      <c r="J57" s="107" t="inlineStr">
        <is>
          <t>UC04 e UC06 são tratados com prioridade na Elaboração, como arquitetura executável (sprints 3 e 4 do Plano de Entregas), por concentrarem o maior risco técnico do projeto.</t>
        </is>
      </c>
      <c r="K57" s="107" t="inlineStr">
        <is>
          <t>1. Reduzir a regra a um serviço isolado e coberto por testes de unidade
2. Reavaliar a estimativa da Construção após a arquitetura executável</t>
        </is>
      </c>
    </row>
    <row r="58" ht="120.6" customFormat="1" customHeight="1" s="101">
      <c r="A58" s="192" t="inlineStr">
        <is>
          <t>RI-09</t>
        </is>
      </c>
      <c r="B58" s="193" t="inlineStr">
        <is>
          <t>Nova mudança de escopo — o escopo já foi alterado duas vezes: reduzido na versão 2.0 e novamente na 3.0, com a remoção do agendamento.</t>
        </is>
      </c>
      <c r="C58" s="194" t="n">
        <v>46261</v>
      </c>
      <c r="D58" s="105" t="inlineStr">
        <is>
          <t>Média</t>
        </is>
      </c>
      <c r="E58" s="105" t="inlineStr">
        <is>
          <t>Alto</t>
        </is>
      </c>
      <c r="F58" s="106">
        <f>IF(OR((CODE($D58)*CODE($E58))=$D$36,(CODE($D58)*CODE($E58))=$D$35),$D$15,IF(OR((CODE($D58)*CODE($E58))=$D$34,(CODE($D58)*CODE($E58))=$D$37),$D$16,IF(OR((CODE($D58)*CODE($E58))=$D$38,(CODE($D58)*CODE($E58))=$D$39),$D$17,0)))</f>
        <v/>
      </c>
      <c r="G58" s="105" t="inlineStr">
        <is>
          <t>Em Mitigação</t>
        </is>
      </c>
      <c r="H58" s="108" t="n"/>
      <c r="I58" s="166" t="n"/>
      <c r="J58" s="107" t="inlineStr">
        <is>
          <t>As duas alterações decorreram de defeitos identificados em revisão, não de mudança de opinião. Daqui em diante, novas alterações passam por Requisição de Mudança, com análise de impacto pelo Product Owner.</t>
        </is>
      </c>
      <c r="K58" s="107" t="inlineStr">
        <is>
          <t>1. Registrar a Requisição de Mudança em 6.Gerenciamento de Projeto
2. Product Owner analisa impacto em prazo e custo e atualiza esta planilha
3. Replanejar os sprints afetados</t>
        </is>
      </c>
    </row>
    <row r="59" ht="120.6" customFormat="1" customHeight="1" s="101">
      <c r="A59" s="192" t="inlineStr">
        <is>
          <t>RI-10</t>
        </is>
      </c>
      <c r="B59" s="193" t="inlineStr">
        <is>
          <t>Limite de duração inadequado ao parque de carregadores — 6 horas não bastam se o condomínio instalar carregadores lentos, de 3,7 kW.</t>
        </is>
      </c>
      <c r="C59" s="194" t="n">
        <v>46261</v>
      </c>
      <c r="D59" s="105" t="inlineStr">
        <is>
          <t>Baixa</t>
        </is>
      </c>
      <c r="E59" s="105" t="inlineStr">
        <is>
          <t>Médio</t>
        </is>
      </c>
      <c r="F59" s="106">
        <f>IF(OR((CODE($D59)*CODE($E59))=$D$36,(CODE($D59)*CODE($E59))=$D$35),$D$15,IF(OR((CODE($D59)*CODE($E59))=$D$34,(CODE($D59)*CODE($E59))=$D$37),$D$16,IF(OR((CODE($D59)*CODE($E59))=$D$38,(CODE($D59)*CODE($E59))=$D$39),$D$17,0)))</f>
        <v/>
      </c>
      <c r="G59" s="105" t="inlineStr">
        <is>
          <t>Ativo</t>
        </is>
      </c>
      <c r="H59" s="120" t="n"/>
      <c r="I59" s="167" t="n"/>
      <c r="J59" s="107" t="inlineStr">
        <is>
          <t>O limite é parâmetro de configuração, não valor fixo em código: o síndico o ajusta se o parque de carregadores exigir. As 6 horas são o padrão inicial, dimensionado para carregadores de 7,4 kW e 11 kW.</t>
        </is>
      </c>
      <c r="K59" s="107" t="inlineStr">
        <is>
          <t>1. Síndico ajusta o parâmetro de duração máxima
2. Recarga concluída em mais de uma sessão</t>
        </is>
      </c>
    </row>
    <row r="60" ht="107.7" customFormat="1" customHeight="1" s="101">
      <c r="A60" s="192" t="inlineStr">
        <is>
          <t>RI-11</t>
        </is>
      </c>
      <c r="B60" s="193" t="inlineStr">
        <is>
          <t>Disputa não mediada pelo sistema — removido o agendamento (RE-12), o uso é por ordem de chegada e quem perde a corrida desce à toa.</t>
        </is>
      </c>
      <c r="C60" s="194" t="n">
        <v>46261</v>
      </c>
      <c r="D60" s="105" t="inlineStr">
        <is>
          <t>Média</t>
        </is>
      </c>
      <c r="E60" s="105" t="inlineStr">
        <is>
          <t>Baixo</t>
        </is>
      </c>
      <c r="F60" s="106">
        <f>IF(OR((CODE($D60)*CODE($E60))=$D$36,(CODE($D60)*CODE($E60))=$D$35),$D$15,IF(OR((CODE($D60)*CODE($E60))=$D$34,(CODE($D60)*CODE($E60))=$D$37),$D$16,IF(OR((CODE($D60)*CODE($E60))=$D$38,(CODE($D60)*CODE($E60))=$D$39),$D$17,0)))</f>
        <v/>
      </c>
      <c r="G60" s="105" t="inlineStr">
        <is>
          <t>Ativo</t>
        </is>
      </c>
      <c r="H60" s="120" t="n"/>
      <c r="I60" s="167" t="n"/>
      <c r="J60" s="107" t="inlineStr">
        <is>
          <t>ACEITAR, com mitigação parcial. O painel informa a previsão de liberação, o que evita a maior parte das descidas inúteis. A demanda reprimida é medida no UC14 (tentativas de início recusadas).</t>
        </is>
      </c>
      <c r="K60" s="107" t="inlineStr">
        <is>
          <t>1. Levar o dado de demanda reprimida à assembleia
2. Ampliar a estrutura de vagas, e não acrescentar regra de software
3. Avaliar mecanismo de fila em versão futura, via Requisição de Mudança</t>
        </is>
      </c>
    </row>
    <row r="61" ht="133.5" customHeight="1">
      <c r="A61" s="192" t="inlineStr">
        <is>
          <t>RI-12</t>
        </is>
      </c>
      <c r="B61" s="193" t="inlineStr">
        <is>
          <t>Esforço estimado superior à capacidade da equipe no semestre — 728 h ajustadas contra 624 h de capacidade nos 10 sprints planejados (RE-13).</t>
        </is>
      </c>
      <c r="C61" s="194" t="n">
        <v>46261</v>
      </c>
      <c r="D61" s="105" t="inlineStr">
        <is>
          <t>Alta</t>
        </is>
      </c>
      <c r="E61" s="105" t="inlineStr">
        <is>
          <t>Alto</t>
        </is>
      </c>
      <c r="F61" s="106">
        <f>IF(OR((CODE($D61)*CODE($E61))=$D$36,(CODE($D61)*CODE($E61))=$D$35),$D$15,IF(OR((CODE($D61)*CODE($E61))=$D$34,(CODE($D61)*CODE($E61))=$D$37),$D$16,IF(OR((CODE($D61)*CODE($E61))=$D$38,(CODE($D61)*CODE($E61))=$D$39),$D$17,0)))</f>
        <v/>
      </c>
      <c r="G61" s="105" t="inlineStr">
        <is>
          <t>Ativo</t>
        </is>
      </c>
      <c r="H61" s="108" t="n"/>
      <c r="I61" s="166" t="n"/>
      <c r="J61" s="107" t="inlineStr">
        <is>
          <t>A diferença de 104 h corresponde à margem de erro de 40% adotada por falta de base histórica. Acompanhamento do consumo real de horas no bloco REALIZADO da aba Entregas a cada sprint, para calibrar a margem com dado próprio.</t>
        </is>
      </c>
      <c r="K61" s="107" t="inlineStr">
        <is>
          <t>1. Reduzir a margem de erro assim que houver base histórica de dois sprints
2. Ampliar a jornada semanal por integrante
3. Negociar redução de escopo com o Product Owner, entregando primeiro o de maior peso VRDC</t>
        </is>
      </c>
    </row>
    <row r="63">
      <c r="A63" t="inlineStr">
        <is>
          <t>NOTA — Nenhum risco recebeu estratégia de Eliminação; por isso a coluna Plano de Eliminação está vazia. RI-04 e RI-11 são aceitos com mitigação parcial, conforme a seção 5 do documento Visão v3.0.</t>
        </is>
      </c>
    </row>
    <row r="64">
      <c r="A64" t="inlineStr">
        <is>
          <t>NOTA — RI-01 a RI-11 são transcritos do documento CARREGAJA - Visão v3.0. RI-12 foi identificado nesta Reunião de Planejamento do Projeto e deve ser incorporado ao Visão na próxima revisão.</t>
        </is>
      </c>
    </row>
  </sheetData>
  <mergeCells count="29">
    <mergeCell ref="C47:K47"/>
    <mergeCell ref="H53:I53"/>
    <mergeCell ref="A48:A49"/>
    <mergeCell ref="E48:E49"/>
    <mergeCell ref="G48:G49"/>
    <mergeCell ref="H54:I54"/>
    <mergeCell ref="H48:K48"/>
    <mergeCell ref="H55:I55"/>
    <mergeCell ref="H50:I50"/>
    <mergeCell ref="H58:I58"/>
    <mergeCell ref="A1:K1"/>
    <mergeCell ref="H56:I56"/>
    <mergeCell ref="H59:I59"/>
    <mergeCell ref="B48:B49"/>
    <mergeCell ref="D48:D49"/>
    <mergeCell ref="H60:I60"/>
    <mergeCell ref="A41:K41"/>
    <mergeCell ref="H49:I49"/>
    <mergeCell ref="H51:I51"/>
    <mergeCell ref="A46:K46"/>
    <mergeCell ref="H61:I61"/>
    <mergeCell ref="H52:I52"/>
    <mergeCell ref="H57:I57"/>
    <mergeCell ref="A42:K42"/>
    <mergeCell ref="C48:C49"/>
    <mergeCell ref="F48:F49"/>
    <mergeCell ref="D33:E33"/>
    <mergeCell ref="A43:K43"/>
    <mergeCell ref="A44:K44"/>
  </mergeCells>
  <conditionalFormatting sqref="F50:F60">
    <cfRule type="cellIs" priority="8" operator="equal" dxfId="2" stopIfTrue="1">
      <formula>$D$15</formula>
    </cfRule>
    <cfRule type="cellIs" priority="9" operator="equal" dxfId="1" stopIfTrue="1">
      <formula>$D$16</formula>
    </cfRule>
    <cfRule type="cellIs" priority="10" operator="equal" dxfId="0" stopIfTrue="1">
      <formula>$D$17</formula>
    </cfRule>
  </conditionalFormatting>
  <dataValidations count="4">
    <dataValidation sqref="D50:D61" showDropDown="0" showInputMessage="1" showErrorMessage="1" allowBlank="1" type="list">
      <formula1>$D$15:$D$17</formula1>
    </dataValidation>
    <dataValidation sqref="E50:E61" showDropDown="0" showInputMessage="1" showErrorMessage="1" allowBlank="1" type="list">
      <formula1>$D$19:$D$21</formula1>
    </dataValidation>
    <dataValidation sqref="G50:G61" showDropDown="0" showInputMessage="1" showErrorMessage="1" allowBlank="1" type="list">
      <formula1>$D$23:$D$26</formula1>
    </dataValidation>
    <dataValidation sqref="H65554:I65554 H65565:I65565 H65576:I65576 H65587:I65587 H131090:I131090 H131101:I131101 H131112:I131112 H131123:I131123 H196626:I196626 H196637:I196637 H196648:I196648 H196659:I196659 H262162:I262162 H262173:I262173 H262184:I262184 H262195:I262195 H327698:I327698 H327709:I327709 H327720:I327720 H327731:I327731 H393234:I393234 H393245:I393245 H393256:I393256 H393267:I393267 H458770:I458770 H458781:I458781 H458792:I458792 H458803:I458803 H524306:I524306 H524317:I524317 H524328:I524328 H524339:I524339 H589842:I589842 H589853:I589853 H589864:I589864 H589875:I589875 H655378:I655378 H655389:I655389 H655400:I655400 H655411:I655411 H720914:I720914 H720925:I720925 H720936:I720936 H720947:I720947 H786450:I786450 H786461:I786461 H786472:I786472 H786483:I786483 H851986:I851986 H851997:I851997 H852008:I852008 H852019:I852019 H917522:I917522 H917533:I917533 H917544:I917544 H917555:I917555 H983058:I983058 H983069:I983069 H983080:I983080 H983091:I983091 JC65554:JD65554 JC65565:JD65565 JC65576:JD65576 JC65587:JD65587 JC131090:JD131090 JC131101:JD131101 JC131112:JD131112 JC131123:JD131123 JC196626:JD196626 JC196637:JD196637 JC196648:JD196648 JC196659:JD196659 JC262162:JD262162 JC262173:JD262173 JC262184:JD262184 JC262195:JD262195 JC327698:JD327698 JC327709:JD327709 JC327720:JD327720 JC327731:JD327731 JC393234:JD393234 JC393245:JD393245 JC393256:JD393256 JC393267:JD393267 JC458770:JD458770 JC458781:JD458781 JC458792:JD458792 JC458803:JD458803 JC524306:JD524306 JC524317:JD524317 JC524328:JD524328 JC524339:JD524339 JC589842:JD589842 JC589853:JD589853 JC589864:JD589864 JC589875:JD589875 JC655378:JD655378 JC655389:JD655389 JC655400:JD655400 JC655411:JD655411 JC720914:JD720914 JC720925:JD720925 JC720936:JD720936 JC720947:JD720947 JC786450:JD786450 JC786461:JD786461 JC786472:JD786472 JC786483:JD786483 JC851986:JD851986 JC851997:JD851997 JC852008:JD852008 JC852019:JD852019 JC917522:JD917522 JC917533:JD917533 JC917544:JD917544 JC917555:JD917555 JC983058:JD983058 JC983069:JD983069 JC983080:JD983080 JC983091:JD983091 SY65554:SZ65554 SY65565:SZ65565 SY65576:SZ65576 SY65587:SZ65587 SY131090:SZ131090 SY131101:SZ131101 SY131112:SZ131112 SY131123:SZ131123 SY196626:SZ196626 SY196637:SZ196637 SY196648:SZ196648 SY196659:SZ196659 SY262162:SZ262162 SY262173:SZ262173 SY262184:SZ262184 SY262195:SZ262195 SY327698:SZ327698 SY327709:SZ327709 SY327720:SZ327720 SY327731:SZ327731 SY393234:SZ393234 SY393245:SZ393245 SY393256:SZ393256 SY393267:SZ393267 SY458770:SZ458770 SY458781:SZ458781 SY458792:SZ458792 SY458803:SZ458803 SY524306:SZ524306 SY524317:SZ524317 SY524328:SZ524328 SY524339:SZ524339 SY589842:SZ589842 SY589853:SZ589853 SY589864:SZ589864 SY589875:SZ589875 SY655378:SZ655378 SY655389:SZ655389 SY655400:SZ655400 SY655411:SZ655411 SY720914:SZ720914 SY720925:SZ720925 SY720936:SZ720936 SY720947:SZ720947 SY786450:SZ786450 SY786461:SZ786461 SY786472:SZ786472 SY786483:SZ786483 SY851986:SZ851986 SY851997:SZ851997 SY852008:SZ852008 SY852019:SZ852019 SY917522:SZ917522 SY917533:SZ917533 SY917544:SZ917544 SY917555:SZ917555 SY983058:SZ983058 SY983069:SZ983069 SY983080:SZ983080 SY983091:SZ983091 ACU65554:ACV65554 ACU65565:ACV65565 ACU65576:ACV65576 ACU65587:ACV65587 ACU131090:ACV131090 ACU131101:ACV131101 ACU131112:ACV131112 ACU131123:ACV131123 ACU196626:ACV196626 ACU196637:ACV196637 ACU196648:ACV196648 ACU196659:ACV196659 ACU262162:ACV262162 ACU262173:ACV262173 ACU262184:ACV262184 ACU262195:ACV262195 ACU327698:ACV327698 ACU327709:ACV327709 ACU327720:ACV327720 ACU327731:ACV327731 ACU393234:ACV393234 ACU393245:ACV393245 ACU393256:ACV393256 ACU393267:ACV393267 ACU458770:ACV458770 ACU458781:ACV458781 ACU458792:ACV458792 ACU458803:ACV458803 ACU524306:ACV524306 ACU524317:ACV524317 ACU524328:ACV524328 ACU524339:ACV524339 ACU589842:ACV589842 ACU589853:ACV589853 ACU589864:ACV589864 ACU589875:ACV589875 ACU655378:ACV655378 ACU655389:ACV655389 ACU655400:ACV655400 ACU655411:ACV655411 ACU720914:ACV720914 ACU720925:ACV720925 ACU720936:ACV720936 ACU720947:ACV720947 ACU786450:ACV786450 ACU786461:ACV786461 ACU786472:ACV786472 ACU786483:ACV786483 ACU851986:ACV851986 ACU851997:ACV851997 ACU852008:ACV852008 ACU852019:ACV852019 ACU917522:ACV917522 ACU917533:ACV917533 ACU917544:ACV917544 ACU917555:ACV917555 ACU983058:ACV983058 ACU983069:ACV983069 ACU983080:ACV983080 ACU983091:ACV983091" showDropDown="0" showInputMessage="1" showErrorMessage="1" allowBlank="1" type="list">
      <formula1>$D$4:$D$13</formula1>
    </dataValidation>
  </dataValidations>
  <pageMargins left="0.511811023622047" right="0.511811023622047" top="1.181102362204725" bottom="1.181102362204725" header="0.78740157480315" footer="0.78740157480315"/>
  <pageSetup orientation="landscape" paperSize="0" fitToHeight="0" fitToWidth="0" horizontalDpi="0" verticalDpi="0" copies="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W37"/>
  <sheetViews>
    <sheetView workbookViewId="0">
      <selection activeCell="A1" sqref="A1"/>
    </sheetView>
  </sheetViews>
  <sheetFormatPr baseColWidth="8" defaultRowHeight="14.1"/>
  <cols>
    <col width="32" customWidth="1" style="1" min="1" max="1"/>
    <col width="11.75" customWidth="1" style="1" min="2" max="2"/>
    <col width="0.875" customWidth="1" style="1" min="3" max="3"/>
    <col width="34" customWidth="1" style="1" min="4" max="4"/>
    <col width="11.75" customWidth="1" style="1" min="5" max="5"/>
    <col width="1.125" customWidth="1" style="1" min="6" max="6"/>
    <col width="12.375" customWidth="1" style="1" min="7" max="7"/>
    <col width="7" customWidth="1" style="1" min="8" max="8"/>
    <col width="5.5" customWidth="1" style="1" min="9" max="9"/>
    <col width="8.5" customWidth="1" style="1" min="10" max="10"/>
    <col width="10.5" customWidth="1" style="1" min="11" max="11"/>
    <col width="1.375" customWidth="1" style="1" min="12" max="12"/>
    <col width="37.375" customWidth="1" style="1" min="13" max="13"/>
    <col width="10" customWidth="1" style="1" min="14" max="14"/>
    <col width="8.125" customWidth="1" style="1" min="15" max="1024"/>
    <col width="9" customWidth="1" min="1025" max="1025"/>
  </cols>
  <sheetData>
    <row r="1" ht="21" customFormat="1" customHeight="1" s="90">
      <c r="A1" s="135" t="inlineStr">
        <is>
          <t>APF (Método de estimativa de tamanho de sistema)</t>
        </is>
      </c>
      <c r="B1" s="166" t="n"/>
      <c r="C1" s="166" t="n"/>
      <c r="D1" s="166" t="n"/>
      <c r="E1" s="166" t="n"/>
      <c r="F1" s="166" t="n"/>
      <c r="G1" s="166" t="n"/>
      <c r="H1" s="166" t="n"/>
      <c r="I1" s="166" t="n"/>
      <c r="J1" s="166" t="n"/>
      <c r="K1" s="166" t="n"/>
      <c r="L1" s="166" t="n"/>
      <c r="M1" s="166" t="n"/>
      <c r="N1" s="167" t="n"/>
    </row>
    <row r="2" ht="12.75" customFormat="1" customHeight="1" s="121">
      <c r="A2" s="136" t="inlineStr">
        <is>
          <t>Instruções de Preenchimento</t>
        </is>
      </c>
      <c r="B2" s="166" t="n"/>
      <c r="C2" s="166" t="n"/>
      <c r="D2" s="166" t="n"/>
      <c r="E2" s="166" t="n"/>
      <c r="F2" s="166" t="n"/>
      <c r="G2" s="166" t="n"/>
      <c r="H2" s="166" t="n"/>
      <c r="I2" s="166" t="n"/>
      <c r="J2" s="166" t="n"/>
      <c r="K2" s="166" t="n"/>
      <c r="L2" s="166" t="n"/>
      <c r="M2" s="166" t="n"/>
      <c r="N2" s="167" t="n"/>
    </row>
    <row r="3" ht="15" customFormat="1" customHeight="1" s="121">
      <c r="A3" s="137" t="inlineStr">
        <is>
          <t>As colunas em amarelo escuro são prenchidas durante a contagem e normalmente não são alteradas durante a execução do projeto.</t>
        </is>
      </c>
      <c r="B3" s="166" t="n"/>
      <c r="C3" s="166" t="n"/>
      <c r="D3" s="166" t="n"/>
      <c r="E3" s="166" t="n"/>
      <c r="F3" s="166" t="n"/>
      <c r="G3" s="166" t="n"/>
      <c r="H3" s="166" t="n"/>
      <c r="I3" s="166" t="n"/>
      <c r="J3" s="166" t="n"/>
      <c r="K3" s="166" t="n"/>
      <c r="L3" s="166" t="n"/>
      <c r="M3" s="166" t="n"/>
      <c r="N3" s="167" t="n"/>
    </row>
    <row r="4" ht="15" customFormat="1" customHeight="1" s="121">
      <c r="A4" s="138" t="inlineStr">
        <is>
          <t>As colunas em amarelo claro são preenchidas durante</t>
        </is>
      </c>
      <c r="B4" s="166" t="n"/>
      <c r="C4" s="166" t="n"/>
      <c r="D4" s="166" t="n"/>
      <c r="E4" s="166" t="n"/>
      <c r="F4" s="166" t="n"/>
      <c r="G4" s="166" t="n"/>
      <c r="H4" s="166" t="n"/>
      <c r="I4" s="166" t="n"/>
      <c r="J4" s="166" t="n"/>
      <c r="K4" s="166" t="n"/>
      <c r="L4" s="166" t="n"/>
      <c r="M4" s="166" t="n"/>
      <c r="N4" s="167" t="n"/>
    </row>
    <row r="5" ht="15.75" customFormat="1" customHeight="1" s="121">
      <c r="A5" s="139" t="inlineStr">
        <is>
          <t>As células em branco contém fórmulas e não devem ser editadas</t>
        </is>
      </c>
      <c r="B5" s="166" t="n"/>
      <c r="C5" s="166" t="n"/>
      <c r="D5" s="166" t="n"/>
      <c r="E5" s="166" t="n"/>
      <c r="F5" s="166" t="n"/>
      <c r="G5" s="166" t="n"/>
      <c r="H5" s="166" t="n"/>
      <c r="I5" s="166" t="n"/>
      <c r="J5" s="166" t="n"/>
      <c r="K5" s="166" t="n"/>
      <c r="L5" s="166" t="n"/>
      <c r="M5" s="166" t="n"/>
      <c r="N5" s="167" t="n"/>
    </row>
    <row r="6" ht="20.25" customFormat="1" customHeight="1" s="6"/>
    <row r="7" ht="12" customFormat="1" customHeight="1" s="6">
      <c r="A7" s="140" t="inlineStr">
        <is>
          <t>Funções de Dados (Arquivo/Tabela)</t>
        </is>
      </c>
      <c r="B7" s="167" t="n"/>
      <c r="D7" s="140" t="inlineStr">
        <is>
          <t>Funções de Transacionais (caso de uso/história)</t>
        </is>
      </c>
      <c r="E7" s="167" t="n"/>
      <c r="G7" s="140" t="inlineStr">
        <is>
          <t>Funções de Dados</t>
        </is>
      </c>
      <c r="H7" s="166" t="n"/>
      <c r="I7" s="166" t="n"/>
      <c r="J7" s="166" t="n"/>
      <c r="K7" s="167" t="n"/>
      <c r="M7" s="140" t="inlineStr">
        <is>
          <t>Fator de Ajuste</t>
        </is>
      </c>
      <c r="N7" s="167" t="n"/>
    </row>
    <row r="8" ht="17.25" customFormat="1" customHeight="1" s="6">
      <c r="A8" s="124" t="inlineStr">
        <is>
          <t>Arquivos/Tabelas</t>
        </is>
      </c>
      <c r="B8" s="125" t="inlineStr">
        <is>
          <t>Complexidade</t>
        </is>
      </c>
      <c r="D8" s="124" t="inlineStr">
        <is>
          <t>Caso de Uso/História</t>
        </is>
      </c>
      <c r="E8" s="125" t="inlineStr">
        <is>
          <t>Complexidade</t>
        </is>
      </c>
      <c r="G8" s="124" t="inlineStr">
        <is>
          <t>Tipo de Função</t>
        </is>
      </c>
      <c r="H8" s="124" t="inlineStr">
        <is>
          <t>Simples</t>
        </is>
      </c>
      <c r="I8" s="124" t="inlineStr">
        <is>
          <t>Média</t>
        </is>
      </c>
      <c r="J8" s="125" t="inlineStr">
        <is>
          <t>Complexa</t>
        </is>
      </c>
      <c r="K8" s="125" t="inlineStr">
        <is>
          <t>Contribuição</t>
        </is>
      </c>
      <c r="M8" s="125" t="inlineStr">
        <is>
          <t>Características do sistema</t>
        </is>
      </c>
      <c r="N8" s="125" t="inlineStr">
        <is>
          <t>GI</t>
        </is>
      </c>
    </row>
    <row r="9" ht="30.3" customFormat="1" customHeight="1" s="6">
      <c r="A9" s="195" t="inlineStr">
        <is>
          <t>Morador (vinculado ao apartamento)</t>
        </is>
      </c>
      <c r="B9" s="138" t="inlineStr">
        <is>
          <t>Simples</t>
        </is>
      </c>
      <c r="D9" s="195" t="inlineStr">
        <is>
          <t>UC01 — Autenticar Usuário</t>
        </is>
      </c>
      <c r="E9" s="138" t="inlineStr">
        <is>
          <t>Simples</t>
        </is>
      </c>
      <c r="G9" s="124" t="inlineStr">
        <is>
          <t>ALI</t>
        </is>
      </c>
      <c r="H9" s="137" t="n">
        <v>5</v>
      </c>
      <c r="I9" s="137" t="n">
        <v>2</v>
      </c>
      <c r="J9" s="137" t="n">
        <v>0</v>
      </c>
      <c r="K9" s="125">
        <f>(H9*4)+(I9*6)+(J9*8)</f>
        <v/>
      </c>
      <c r="M9" s="126" t="inlineStr">
        <is>
          <t>Comunicação de Dados</t>
        </is>
      </c>
      <c r="N9" s="127" t="n">
        <v>4</v>
      </c>
    </row>
    <row r="10" ht="17.4" customFormat="1" customHeight="1" s="6">
      <c r="A10" s="195" t="inlineStr">
        <is>
          <t>Veículo</t>
        </is>
      </c>
      <c r="B10" s="138" t="inlineStr">
        <is>
          <t>Simples</t>
        </is>
      </c>
      <c r="D10" s="195" t="inlineStr">
        <is>
          <t>UC10 — Definir Tarifa de Energia</t>
        </is>
      </c>
      <c r="E10" s="138" t="inlineStr">
        <is>
          <t>Simples</t>
        </is>
      </c>
      <c r="G10" s="124" t="inlineStr">
        <is>
          <t>AIE</t>
        </is>
      </c>
      <c r="H10" s="137" t="n">
        <v>0</v>
      </c>
      <c r="I10" s="137" t="n">
        <v>0</v>
      </c>
      <c r="J10" s="137" t="n">
        <v>0</v>
      </c>
      <c r="K10" s="125">
        <f>(H10*3)+(I10*4)+(J10*6)</f>
        <v/>
      </c>
      <c r="M10" s="126" t="inlineStr">
        <is>
          <t>Processamento de Dados Distribuído</t>
        </is>
      </c>
      <c r="N10" s="127" t="n">
        <v>0</v>
      </c>
    </row>
    <row r="11" ht="17.4" customFormat="1" customHeight="1" s="6">
      <c r="A11" s="195" t="inlineStr">
        <is>
          <t>Vaga com carregador</t>
        </is>
      </c>
      <c r="B11" s="138" t="inlineStr">
        <is>
          <t>Simples</t>
        </is>
      </c>
      <c r="D11" s="195" t="inlineStr">
        <is>
          <t>UC07 — Manter Veículo</t>
        </is>
      </c>
      <c r="E11" s="138" t="inlineStr">
        <is>
          <t>Média</t>
        </is>
      </c>
      <c r="G11" s="140" t="inlineStr">
        <is>
          <t>Funções Transacionais</t>
        </is>
      </c>
      <c r="H11" s="166" t="n"/>
      <c r="I11" s="166" t="n"/>
      <c r="J11" s="166" t="n"/>
      <c r="K11" s="167" t="n"/>
      <c r="M11" s="126" t="inlineStr">
        <is>
          <t>Desempenho</t>
        </is>
      </c>
      <c r="N11" s="127" t="n">
        <v>2</v>
      </c>
    </row>
    <row r="12" ht="30.3" customFormat="1" customHeight="1" s="6">
      <c r="A12" s="195" t="inlineStr">
        <is>
          <t>Tarifa de energia (histórico de vigência)</t>
        </is>
      </c>
      <c r="B12" s="138" t="inlineStr">
        <is>
          <t>Simples</t>
        </is>
      </c>
      <c r="D12" s="195" t="inlineStr">
        <is>
          <t>UC09 — Manter Vagas com Carregador</t>
        </is>
      </c>
      <c r="E12" s="138" t="inlineStr">
        <is>
          <t>Média</t>
        </is>
      </c>
      <c r="G12" s="124" t="inlineStr">
        <is>
          <t>Tipo de Função</t>
        </is>
      </c>
      <c r="H12" s="124" t="inlineStr">
        <is>
          <t>Simples</t>
        </is>
      </c>
      <c r="I12" s="124" t="inlineStr">
        <is>
          <t>Média</t>
        </is>
      </c>
      <c r="J12" s="125" t="inlineStr">
        <is>
          <t>Complexa</t>
        </is>
      </c>
      <c r="K12" s="125" t="inlineStr">
        <is>
          <t>Contribuição</t>
        </is>
      </c>
      <c r="M12" s="126" t="inlineStr">
        <is>
          <t>Utilização de Equipamento</t>
        </is>
      </c>
      <c r="N12" s="127" t="n">
        <v>1</v>
      </c>
    </row>
    <row r="13" ht="17.4" customFormat="1" customHeight="1" s="6">
      <c r="A13" s="195" t="inlineStr">
        <is>
          <t>Tentativa de início recusada</t>
        </is>
      </c>
      <c r="B13" s="138" t="inlineStr">
        <is>
          <t>Simples</t>
        </is>
      </c>
      <c r="D13" s="195" t="inlineStr">
        <is>
          <t>UC11 — Manter Moradores</t>
        </is>
      </c>
      <c r="E13" s="138" t="inlineStr">
        <is>
          <t>Média</t>
        </is>
      </c>
      <c r="G13" s="124" t="inlineStr">
        <is>
          <t>EE</t>
        </is>
      </c>
      <c r="H13" s="137" t="n">
        <v>2</v>
      </c>
      <c r="I13" s="137" t="n">
        <v>3</v>
      </c>
      <c r="J13" s="137" t="n">
        <v>4</v>
      </c>
      <c r="K13" s="125">
        <f>(H13*3)+(I13*4)+(J13*6)</f>
        <v/>
      </c>
      <c r="M13" s="126" t="inlineStr">
        <is>
          <t>Volume de Transações</t>
        </is>
      </c>
      <c r="N13" s="127" t="n">
        <v>1</v>
      </c>
      <c r="W13" s="6" t="inlineStr">
        <is>
          <t>x</t>
        </is>
      </c>
    </row>
    <row r="14" ht="30.3" customFormat="1" customHeight="1" s="6">
      <c r="A14" s="195" t="inlineStr">
        <is>
          <t>Sessão de recarga</t>
        </is>
      </c>
      <c r="B14" s="138" t="inlineStr">
        <is>
          <t>Média</t>
        </is>
      </c>
      <c r="D14" s="195" t="inlineStr">
        <is>
          <t>UC03 — Iniciar Sessão de Recarga (inclui UC04)</t>
        </is>
      </c>
      <c r="E14" s="138" t="inlineStr">
        <is>
          <t>Complexa</t>
        </is>
      </c>
      <c r="G14" s="124" t="inlineStr">
        <is>
          <t>SE</t>
        </is>
      </c>
      <c r="H14" s="137" t="n">
        <v>0</v>
      </c>
      <c r="I14" s="137" t="n">
        <v>2</v>
      </c>
      <c r="J14" s="137" t="n">
        <v>1</v>
      </c>
      <c r="K14" s="125">
        <f>(H14*4)+(I14*5)+(J14*7)</f>
        <v/>
      </c>
      <c r="M14" s="126" t="inlineStr">
        <is>
          <t>Entrada de Dados On-line</t>
        </is>
      </c>
      <c r="N14" s="127" t="n">
        <v>5</v>
      </c>
    </row>
    <row r="15" ht="30.3" customFormat="1" customHeight="1" s="6">
      <c r="A15" s="195" t="inlineStr">
        <is>
          <t>Fechamento mensal / rateio por apartamento</t>
        </is>
      </c>
      <c r="B15" s="138" t="inlineStr">
        <is>
          <t>Média</t>
        </is>
      </c>
      <c r="D15" s="195" t="inlineStr">
        <is>
          <t>UC05 — Encerrar Sessão de Recarga (inclui UC06)</t>
        </is>
      </c>
      <c r="E15" s="138" t="inlineStr">
        <is>
          <t>Complexa</t>
        </is>
      </c>
      <c r="G15" s="124" t="inlineStr">
        <is>
          <t>CE</t>
        </is>
      </c>
      <c r="H15" s="137" t="n">
        <v>3</v>
      </c>
      <c r="I15" s="137" t="n">
        <v>0</v>
      </c>
      <c r="J15" s="137" t="n">
        <v>0</v>
      </c>
      <c r="K15" s="125">
        <f>(H15*3)+(I15*4)+(J15*6)</f>
        <v/>
      </c>
      <c r="M15" s="126" t="inlineStr">
        <is>
          <t>Usabilidade</t>
        </is>
      </c>
      <c r="N15" s="127" t="n">
        <v>4</v>
      </c>
    </row>
    <row r="16" ht="30.3" customFormat="1" customHeight="1" s="6">
      <c r="A16" s="195" t="n"/>
      <c r="B16" s="138" t="n"/>
      <c r="D16" s="195" t="inlineStr">
        <is>
          <t>UC12 — Encerrar Sessão Órfã (inclui UC06)</t>
        </is>
      </c>
      <c r="E16" s="138" t="inlineStr">
        <is>
          <t>Complexa</t>
        </is>
      </c>
      <c r="G16" s="141" t="inlineStr">
        <is>
          <t>PFNA - Pontos de Função Não Ajustados:</t>
        </is>
      </c>
      <c r="H16" s="166" t="n"/>
      <c r="I16" s="166" t="n"/>
      <c r="J16" s="167" t="n"/>
      <c r="K16" s="128">
        <f>SUM(K9,K10,K13,K14,K15)</f>
        <v/>
      </c>
      <c r="M16" s="126" t="inlineStr">
        <is>
          <t>Atualização On-line</t>
        </is>
      </c>
      <c r="N16" s="127" t="n">
        <v>3</v>
      </c>
    </row>
    <row r="17" ht="30.3" customFormat="1" customHeight="1" s="6">
      <c r="A17" s="195" t="n"/>
      <c r="B17" s="138" t="n"/>
      <c r="D17" s="195" t="inlineStr">
        <is>
          <t>UC13 — Fechar Mês e Gerar Rateio (inclui UC06)</t>
        </is>
      </c>
      <c r="E17" s="138" t="inlineStr">
        <is>
          <t>Complexa</t>
        </is>
      </c>
      <c r="M17" s="126" t="inlineStr">
        <is>
          <t>Processamento Complexo</t>
        </is>
      </c>
      <c r="N17" s="127" t="n">
        <v>3</v>
      </c>
    </row>
    <row r="18" ht="17.4" customFormat="1" customHeight="1" s="6">
      <c r="A18" s="195" t="n"/>
      <c r="B18" s="138" t="n"/>
      <c r="D18" s="195" t="inlineStr">
        <is>
          <t>UC02 — Consultar Painel de Vagas</t>
        </is>
      </c>
      <c r="E18" s="138" t="inlineStr">
        <is>
          <t>Média</t>
        </is>
      </c>
      <c r="M18" s="126" t="inlineStr">
        <is>
          <t>Reusabilidade</t>
        </is>
      </c>
      <c r="N18" s="127" t="n">
        <v>1</v>
      </c>
    </row>
    <row r="19" ht="17.4" customFormat="1" customHeight="1" s="6">
      <c r="A19" s="195" t="n"/>
      <c r="B19" s="138" t="n"/>
      <c r="D19" s="195" t="inlineStr">
        <is>
          <t>UC08 — Consultar Consumo do Mês</t>
        </is>
      </c>
      <c r="E19" s="138" t="inlineStr">
        <is>
          <t>Média</t>
        </is>
      </c>
      <c r="M19" s="126" t="inlineStr">
        <is>
          <t>Facilidade de Implantação</t>
        </is>
      </c>
      <c r="N19" s="127" t="n">
        <v>2</v>
      </c>
    </row>
    <row r="20" ht="30.3" customFormat="1" customHeight="1" s="6">
      <c r="A20" s="195" t="n"/>
      <c r="B20" s="138" t="n"/>
      <c r="D20" s="195" t="inlineStr">
        <is>
          <t>UC14 — Consultar Histórico de Utilização</t>
        </is>
      </c>
      <c r="E20" s="138" t="inlineStr">
        <is>
          <t>Complexa</t>
        </is>
      </c>
      <c r="M20" s="126" t="inlineStr">
        <is>
          <t>Facilidade Operacional</t>
        </is>
      </c>
      <c r="N20" s="127" t="n">
        <v>2</v>
      </c>
    </row>
    <row r="21" ht="30.3" customFormat="1" customHeight="1" s="6">
      <c r="A21" s="196" t="n"/>
      <c r="D21" s="195" t="inlineStr">
        <is>
          <t>Consultar veículos cadastrados</t>
        </is>
      </c>
      <c r="E21" s="138" t="inlineStr">
        <is>
          <t>Simples</t>
        </is>
      </c>
      <c r="M21" s="126" t="inlineStr">
        <is>
          <t>Múltiplos Locais e Organizações do Usuário</t>
        </is>
      </c>
      <c r="N21" s="127" t="n">
        <v>0</v>
      </c>
    </row>
    <row r="22" ht="17.4" customFormat="1" customHeight="1" s="6">
      <c r="A22" s="196" t="n"/>
      <c r="D22" s="195" t="inlineStr">
        <is>
          <t>Consultar vagas cadastradas</t>
        </is>
      </c>
      <c r="E22" s="138" t="inlineStr">
        <is>
          <t>Simples</t>
        </is>
      </c>
      <c r="M22" s="126" t="inlineStr">
        <is>
          <t>Manutenibilidade</t>
        </is>
      </c>
      <c r="N22" s="127" t="n">
        <v>3</v>
      </c>
    </row>
    <row r="23" ht="17.4" customFormat="1" customHeight="1" s="6">
      <c r="A23" s="196" t="n"/>
      <c r="D23" s="195" t="inlineStr">
        <is>
          <t>Consultar tarifas vigentes</t>
        </is>
      </c>
      <c r="E23" s="138" t="inlineStr">
        <is>
          <t>Simples</t>
        </is>
      </c>
      <c r="M23" s="129" t="inlineStr">
        <is>
          <t>NIT - Nível de Influência Total:</t>
        </is>
      </c>
      <c r="N23" s="130">
        <f>SUM(N9:N22)</f>
        <v/>
      </c>
    </row>
    <row r="24" ht="15" customHeight="1">
      <c r="M24" s="129" t="inlineStr">
        <is>
          <t>VFA - Valor do Fator de Ajuste:</t>
        </is>
      </c>
      <c r="N24" s="128">
        <f>(N23*0.01)+0.65</f>
        <v/>
      </c>
    </row>
    <row r="25" ht="15" customHeight="1">
      <c r="M25" s="129" t="inlineStr">
        <is>
          <t>PFA - Pontos de Função Ajustados:</t>
        </is>
      </c>
      <c r="N25" s="131">
        <f>K16*N24</f>
        <v/>
      </c>
    </row>
    <row r="26" ht="15" customHeight="1">
      <c r="M26" s="129" t="inlineStr">
        <is>
          <t>Produtividade da Tecnologia Escolhida (hs/pto):</t>
        </is>
      </c>
      <c r="N26" s="132" t="n">
        <v>8</v>
      </c>
    </row>
    <row r="27" ht="21" customHeight="1">
      <c r="M27" s="133" t="inlineStr">
        <is>
          <t>Esforço estimado (Horas):</t>
        </is>
      </c>
      <c r="N27" s="197">
        <f>N25*N26</f>
        <v/>
      </c>
    </row>
    <row r="29">
      <c r="A29" t="inlineStr">
        <is>
          <t>NOTA — Produtividade de 8 h/ponto de função, em substituição ao valor de referência de 19 h/pto do template.</t>
        </is>
      </c>
    </row>
    <row r="30">
      <c r="A30" t="inlineStr">
        <is>
          <t>Justificativa: 19 h/pto é referência de projeto corporativo de grande porte. Para aplicação web Java de pequeno porte,</t>
        </is>
      </c>
    </row>
    <row r="31">
      <c r="A31" t="inlineStr">
        <is>
          <t>com requisitos já detalhados e revisados (Visão v3.0, Modelo de Caso de Uso v3.0, História de Usuário v2.0), a faixa</t>
        </is>
      </c>
    </row>
    <row r="32">
      <c r="A32" t="inlineStr">
        <is>
          <t>usual é de 6 a 10 h/pto. O valor 8 produz 768 h, contra 728 h da estimativa bottom-up da aba Planejamento —</t>
        </is>
      </c>
    </row>
    <row r="33">
      <c r="A33" t="inlineStr">
        <is>
          <t>diferença de 5%, o que valida as duas estimativas mutuamente.</t>
        </is>
      </c>
    </row>
    <row r="34">
      <c r="A34" t="inlineStr"/>
    </row>
    <row r="35">
      <c r="A35" t="inlineStr">
        <is>
          <t>NOTA — AIE = 0: o sistema não se integra a nenhum sistema externo (RE-05, RE-07 e RE-10 do documento Visão).</t>
        </is>
      </c>
    </row>
    <row r="36">
      <c r="A36" t="inlineStr">
        <is>
          <t>NOTA — UC04 e UC06 não são contados isoladamente: são executados por inclusão e já estão embutidos na complexidade</t>
        </is>
      </c>
    </row>
    <row r="37">
      <c r="A37" t="inlineStr">
        <is>
          <t>Complexa atribuída a UC03, UC05, UC12 e UC13.</t>
        </is>
      </c>
    </row>
  </sheetData>
  <mergeCells count="11">
    <mergeCell ref="M7:N7"/>
    <mergeCell ref="A3:N3"/>
    <mergeCell ref="G7:K7"/>
    <mergeCell ref="D7:E7"/>
    <mergeCell ref="A7:B7"/>
    <mergeCell ref="A4:N4"/>
    <mergeCell ref="A2:N2"/>
    <mergeCell ref="G11:K11"/>
    <mergeCell ref="G16:J16"/>
    <mergeCell ref="A5:N5"/>
    <mergeCell ref="A1:N1"/>
  </mergeCells>
  <dataValidations count="2">
    <dataValidation sqref="B9:B25 E9:E25" showDropDown="0" showInputMessage="1" showErrorMessage="1" allowBlank="1" type="list">
      <formula1>"Simples,Média,Complexa"</formula1>
    </dataValidation>
    <dataValidation sqref="N9:N22" showDropDown="0" showInputMessage="1" showErrorMessage="1" allowBlank="1" type="list">
      <formula1>"1,2,3,4,5"</formula1>
    </dataValidation>
  </dataValidations>
  <pageMargins left="0.511811023622047" right="0.511811023622047" top="1.181102362204725" bottom="1.181102362204725" header="0.78740157480315" footer="0.78740157480315"/>
  <pageSetup orientation="landscape" paperSize="0" fitToHeight="0" fitToWidth="0" horizontalDpi="0" verticalDpi="0" copies="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4.1"/>
  <cols>
    <col width="45.5" customWidth="1" style="1" min="1" max="1"/>
    <col width="12.625" customWidth="1" style="34" min="2" max="2"/>
    <col width="12.75" customWidth="1" style="1" min="3" max="3"/>
    <col width="1.125" customWidth="1" style="1" min="4" max="4"/>
    <col width="24.875" customWidth="1" style="1" min="5" max="5"/>
    <col width="6.75" customWidth="1" style="1" min="6" max="6"/>
    <col width="7" customWidth="1" style="1" min="7" max="7"/>
    <col width="6.5" customWidth="1" style="1" min="8" max="8"/>
    <col width="7" customWidth="1" style="1" min="9" max="9"/>
    <col width="10.125" customWidth="1" style="1" min="10" max="10"/>
    <col width="7" customWidth="1" style="1" min="11" max="11"/>
    <col width="7.625" customWidth="1" style="1" min="12" max="12"/>
    <col width="7" customWidth="1" style="1" min="13" max="13"/>
    <col width="19.125" customWidth="1" style="1" min="14" max="14"/>
    <col width="8.125" customWidth="1" style="1" min="15" max="1024"/>
    <col width="9" customWidth="1" min="1025" max="1025"/>
  </cols>
  <sheetData>
    <row r="1" ht="21" customHeight="1">
      <c r="A1" s="135" t="inlineStr">
        <is>
          <t>Esta planilha deve ser utilizada como sugestão ou base para o planejamento inicial</t>
        </is>
      </c>
      <c r="B1" s="166" t="n"/>
      <c r="C1" s="166" t="n"/>
      <c r="D1" s="166" t="n"/>
      <c r="E1" s="166" t="n"/>
      <c r="F1" s="166" t="n"/>
      <c r="G1" s="166" t="n"/>
      <c r="H1" s="166" t="n"/>
      <c r="I1" s="166" t="n"/>
      <c r="J1" s="166" t="n"/>
      <c r="K1" s="166" t="n"/>
      <c r="L1" s="166" t="n"/>
      <c r="M1" s="166" t="n"/>
      <c r="N1" s="167" t="n"/>
    </row>
    <row r="2" ht="7.5" customHeight="1"/>
    <row r="3" ht="18.75" customHeight="1">
      <c r="A3" s="163" t="inlineStr">
        <is>
          <t>Planejamento Estimado</t>
        </is>
      </c>
      <c r="B3" s="170" t="n"/>
      <c r="C3" s="170" t="n"/>
      <c r="E3" s="163" t="inlineStr">
        <is>
          <t>Estimativa de distribuição de esforço por Fase (horas)</t>
        </is>
      </c>
      <c r="F3" s="170" t="n"/>
      <c r="G3" s="170" t="n"/>
      <c r="H3" s="170" t="n"/>
      <c r="I3" s="170" t="n"/>
      <c r="J3" s="170" t="n"/>
      <c r="K3" s="170" t="n"/>
      <c r="L3" s="170" t="n"/>
      <c r="M3" s="170" t="n"/>
      <c r="N3" s="170" t="n"/>
    </row>
    <row r="4" ht="15" customHeight="1">
      <c r="A4" s="142" t="inlineStr">
        <is>
          <t>Esforço total estimado</t>
        </is>
      </c>
      <c r="B4" s="198">
        <f>'#Estimativa-APF#'!$N$27</f>
        <v/>
      </c>
      <c r="C4" s="39" t="inlineStr">
        <is>
          <t>horas</t>
        </is>
      </c>
      <c r="E4" s="164" t="inlineStr">
        <is>
          <t>DISCIPLINAS</t>
        </is>
      </c>
      <c r="F4" s="165" t="inlineStr">
        <is>
          <t>Iniciação</t>
        </is>
      </c>
      <c r="G4" s="167" t="n"/>
      <c r="H4" s="165" t="inlineStr">
        <is>
          <t>Elaboração</t>
        </is>
      </c>
      <c r="I4" s="167" t="n"/>
      <c r="J4" s="165" t="inlineStr">
        <is>
          <t>Construção</t>
        </is>
      </c>
      <c r="K4" s="167" t="n"/>
      <c r="L4" s="165" t="inlineStr">
        <is>
          <t>Transição</t>
        </is>
      </c>
      <c r="M4" s="167" t="n"/>
      <c r="N4" s="144" t="n"/>
    </row>
    <row r="5" ht="18.75" customHeight="1">
      <c r="A5" s="37" t="inlineStr">
        <is>
          <t>Ajuste base histórica (margem de erro da estimativa)</t>
        </is>
      </c>
      <c r="B5" s="172" t="n">
        <v>0</v>
      </c>
      <c r="C5" s="47" t="inlineStr">
        <is>
          <t>% de erro</t>
        </is>
      </c>
      <c r="E5" s="199" t="n"/>
      <c r="F5" s="165" t="inlineStr">
        <is>
          <t>Horas</t>
        </is>
      </c>
      <c r="G5" s="167" t="n"/>
      <c r="H5" s="165" t="inlineStr">
        <is>
          <t>Horas</t>
        </is>
      </c>
      <c r="I5" s="167" t="n"/>
      <c r="J5" s="165" t="inlineStr">
        <is>
          <t>Horas</t>
        </is>
      </c>
      <c r="K5" s="167" t="n"/>
      <c r="L5" s="165" t="inlineStr">
        <is>
          <t>Horas</t>
        </is>
      </c>
      <c r="M5" s="167" t="n"/>
      <c r="N5" s="50" t="inlineStr">
        <is>
          <t>Totais/Disciplina</t>
        </is>
      </c>
    </row>
    <row r="6" ht="15" customHeight="1">
      <c r="A6" s="145" t="inlineStr">
        <is>
          <t>Esforço total ajustado</t>
        </is>
      </c>
      <c r="B6" s="200">
        <f>B4+(B4*B5)</f>
        <v/>
      </c>
      <c r="C6" s="47" t="inlineStr">
        <is>
          <t>horas</t>
        </is>
      </c>
      <c r="E6" s="191" t="n"/>
      <c r="F6" s="201">
        <f>B6*G6</f>
        <v/>
      </c>
      <c r="G6" s="202" t="n">
        <v>0.05</v>
      </c>
      <c r="H6" s="201">
        <f>B4*I6</f>
        <v/>
      </c>
      <c r="I6" s="202" t="n">
        <v>0.2</v>
      </c>
      <c r="J6" s="201">
        <f>B4*K6</f>
        <v/>
      </c>
      <c r="K6" s="202" t="n">
        <v>0.65</v>
      </c>
      <c r="L6" s="201">
        <f>B4*M6</f>
        <v/>
      </c>
      <c r="M6" s="202" t="n">
        <v>0.1</v>
      </c>
      <c r="N6" s="201" t="n"/>
    </row>
    <row r="7" ht="15.75" customHeight="1">
      <c r="A7" s="39" t="inlineStr">
        <is>
          <t>Qde de pessoas (Desenvolvedores)</t>
        </is>
      </c>
      <c r="B7" s="40" t="n">
        <v>4</v>
      </c>
      <c r="C7" s="39" t="n"/>
      <c r="E7" s="149" t="inlineStr">
        <is>
          <t>Requisitos</t>
        </is>
      </c>
      <c r="F7" s="201">
        <f>F6*G7</f>
        <v/>
      </c>
      <c r="G7" s="202" t="n">
        <v>0.55</v>
      </c>
      <c r="H7" s="201">
        <f>H6*I7</f>
        <v/>
      </c>
      <c r="I7" s="202" t="n">
        <v>0.3</v>
      </c>
      <c r="J7" s="201">
        <f>J6*K7</f>
        <v/>
      </c>
      <c r="K7" s="202" t="n">
        <v>0.12</v>
      </c>
      <c r="L7" s="201">
        <f>L6*M7</f>
        <v/>
      </c>
      <c r="M7" s="202" t="n">
        <v>0.05</v>
      </c>
      <c r="N7" s="203">
        <f>SUM(F7,H7,J7,L7)</f>
        <v/>
      </c>
    </row>
    <row r="8" ht="15.75" customHeight="1">
      <c r="A8" s="39" t="inlineStr">
        <is>
          <t>Jornada de trabalho (semanal por desenvolvedor)</t>
        </is>
      </c>
      <c r="B8" s="40" t="n">
        <v>8</v>
      </c>
      <c r="C8" s="39" t="inlineStr">
        <is>
          <t>horas/semana por integrante</t>
        </is>
      </c>
      <c r="E8" s="149" t="inlineStr">
        <is>
          <t>Análise e Design</t>
        </is>
      </c>
      <c r="F8" s="201">
        <f>F6*G8</f>
        <v/>
      </c>
      <c r="G8" s="202" t="n">
        <v>0.15</v>
      </c>
      <c r="H8" s="201">
        <f>H6*I8</f>
        <v/>
      </c>
      <c r="I8" s="202" t="n">
        <v>0.2</v>
      </c>
      <c r="J8" s="201">
        <f>J6*K8</f>
        <v/>
      </c>
      <c r="K8" s="202" t="n">
        <v>0.1</v>
      </c>
      <c r="L8" s="201">
        <f>L6*M8</f>
        <v/>
      </c>
      <c r="M8" s="202" t="n">
        <v>0.05</v>
      </c>
      <c r="N8" s="203">
        <f>SUM(F8,H8,J8,L8)</f>
        <v/>
      </c>
    </row>
    <row r="9" ht="15.75" customHeight="1">
      <c r="A9" s="39" t="inlineStr">
        <is>
          <t>Número de semanas por sprint</t>
        </is>
      </c>
      <c r="B9" s="40" t="n">
        <v>2</v>
      </c>
      <c r="C9" s="39" t="inlineStr">
        <is>
          <t>semanas</t>
        </is>
      </c>
      <c r="E9" s="149" t="inlineStr">
        <is>
          <t>Implementação</t>
        </is>
      </c>
      <c r="F9" s="201">
        <f>F6*G9</f>
        <v/>
      </c>
      <c r="G9" s="202" t="n">
        <v>0.02</v>
      </c>
      <c r="H9" s="201">
        <f>H6*I9</f>
        <v/>
      </c>
      <c r="I9" s="202" t="n">
        <v>0.2</v>
      </c>
      <c r="J9" s="201">
        <f>J6*K9</f>
        <v/>
      </c>
      <c r="K9" s="202" t="n">
        <v>0.4</v>
      </c>
      <c r="L9" s="201">
        <f>L6*M9</f>
        <v/>
      </c>
      <c r="M9" s="202" t="n">
        <v>0.15</v>
      </c>
      <c r="N9" s="203">
        <f>SUM(F9,H9,J9,L9)</f>
        <v/>
      </c>
    </row>
    <row r="10" ht="15.75" customHeight="1">
      <c r="A10" s="151" t="inlineStr">
        <is>
          <t>Capacidade estimada do time/sprint</t>
        </is>
      </c>
      <c r="B10" s="152">
        <f>(B7*B8)*B9</f>
        <v/>
      </c>
      <c r="C10" s="151" t="inlineStr">
        <is>
          <t>horas</t>
        </is>
      </c>
      <c r="E10" s="149" t="inlineStr">
        <is>
          <t>Teste</t>
        </is>
      </c>
      <c r="F10" s="201">
        <f>F6*G10</f>
        <v/>
      </c>
      <c r="G10" s="202" t="n">
        <v>0.05</v>
      </c>
      <c r="H10" s="201">
        <f>H6*I10</f>
        <v/>
      </c>
      <c r="I10" s="202" t="n">
        <v>0.08</v>
      </c>
      <c r="J10" s="201">
        <f>J6*K10</f>
        <v/>
      </c>
      <c r="K10" s="202" t="n">
        <v>0.1</v>
      </c>
      <c r="L10" s="201">
        <f>L6*M10</f>
        <v/>
      </c>
      <c r="M10" s="202" t="n">
        <v>0.1</v>
      </c>
      <c r="N10" s="203">
        <f>SUM(F10,H10,J10,L10)</f>
        <v/>
      </c>
    </row>
    <row r="11" ht="15.75" customHeight="1">
      <c r="A11" s="142" t="inlineStr">
        <is>
          <t>Qde de semanas estimada</t>
        </is>
      </c>
      <c r="B11" s="204">
        <f>B6/B10*2</f>
        <v/>
      </c>
      <c r="C11" s="142" t="inlineStr">
        <is>
          <t>semanas</t>
        </is>
      </c>
      <c r="E11" s="149" t="inlineStr">
        <is>
          <t>Implantação</t>
        </is>
      </c>
      <c r="F11" s="201">
        <f>F6*G11</f>
        <v/>
      </c>
      <c r="G11" s="202" t="n">
        <v>0</v>
      </c>
      <c r="H11" s="201">
        <f>H6*I11</f>
        <v/>
      </c>
      <c r="I11" s="202" t="n">
        <v>0.02</v>
      </c>
      <c r="J11" s="201">
        <f>J6*K11</f>
        <v/>
      </c>
      <c r="K11" s="202" t="n">
        <v>0.05</v>
      </c>
      <c r="L11" s="201">
        <f>L6*M11</f>
        <v/>
      </c>
      <c r="M11" s="202" t="n">
        <v>0.1</v>
      </c>
      <c r="N11" s="203">
        <f>SUM(F11,H11,J11,L11)</f>
        <v/>
      </c>
    </row>
    <row r="12" ht="15" customHeight="1">
      <c r="A12" s="142" t="inlineStr">
        <is>
          <t>Qde de meses estimada</t>
        </is>
      </c>
      <c r="B12" s="204">
        <f>B11/4</f>
        <v/>
      </c>
      <c r="C12" s="142" t="inlineStr">
        <is>
          <t>meses</t>
        </is>
      </c>
      <c r="E12" s="154" t="inlineStr">
        <is>
          <t>Desenvolvimento</t>
        </is>
      </c>
      <c r="F12" s="205">
        <f>SUM(F7:F11)</f>
        <v/>
      </c>
      <c r="G12" s="206">
        <f>SUM(G7:G11)</f>
        <v/>
      </c>
      <c r="H12" s="205">
        <f>SUM(H7:H11)</f>
        <v/>
      </c>
      <c r="I12" s="206">
        <f>SUM(I7:I11)</f>
        <v/>
      </c>
      <c r="J12" s="205">
        <f>SUM(J7:J11)</f>
        <v/>
      </c>
      <c r="K12" s="206">
        <f>SUM(K7:K11)</f>
        <v/>
      </c>
      <c r="L12" s="205">
        <f>SUM(L7:L11)</f>
        <v/>
      </c>
      <c r="M12" s="206">
        <f>SUM(M7:M11)</f>
        <v/>
      </c>
      <c r="N12" s="154" t="n"/>
    </row>
    <row r="13" ht="15.75" customHeight="1">
      <c r="A13" s="151" t="inlineStr">
        <is>
          <t>Qde de Sprints sugerido</t>
        </is>
      </c>
      <c r="B13" s="207">
        <f>B11/B9</f>
        <v/>
      </c>
      <c r="C13" s="151" t="inlineStr">
        <is>
          <t>Sprints</t>
        </is>
      </c>
      <c r="E13" s="149" t="inlineStr">
        <is>
          <t>Gerenciamento de Configuração</t>
        </is>
      </c>
      <c r="F13" s="201">
        <f>F6*G13</f>
        <v/>
      </c>
      <c r="G13" s="202" t="n">
        <v>0.03</v>
      </c>
      <c r="H13" s="201">
        <f>H6*I13</f>
        <v/>
      </c>
      <c r="I13" s="202" t="n">
        <v>0.08</v>
      </c>
      <c r="J13" s="201">
        <f>J6*K13</f>
        <v/>
      </c>
      <c r="K13" s="202" t="n">
        <v>0.13</v>
      </c>
      <c r="L13" s="201">
        <f>L6*M13</f>
        <v/>
      </c>
      <c r="M13" s="202" t="n">
        <v>0.3</v>
      </c>
      <c r="N13" s="203">
        <f>SUM(F13,H13,J13,L13)</f>
        <v/>
      </c>
    </row>
    <row r="14" ht="15.75" customHeight="1">
      <c r="E14" s="149" t="inlineStr">
        <is>
          <t>Gerenciamento de Projeto</t>
        </is>
      </c>
      <c r="F14" s="201">
        <f>F6*G14</f>
        <v/>
      </c>
      <c r="G14" s="202" t="n">
        <v>0.2</v>
      </c>
      <c r="H14" s="201">
        <f>H6*I14</f>
        <v/>
      </c>
      <c r="I14" s="202" t="n">
        <v>0.12</v>
      </c>
      <c r="J14" s="201">
        <f>J6*K14</f>
        <v/>
      </c>
      <c r="K14" s="202" t="n">
        <v>0.1</v>
      </c>
      <c r="L14" s="201">
        <f>L6*M14</f>
        <v/>
      </c>
      <c r="M14" s="202" t="n">
        <v>0.25</v>
      </c>
      <c r="N14" s="203">
        <f>SUM(F14,H14,J14,L14)</f>
        <v/>
      </c>
    </row>
    <row r="15" ht="15" customHeight="1">
      <c r="E15" s="154" t="inlineStr">
        <is>
          <t>Gerenciamento do Projeto</t>
        </is>
      </c>
      <c r="F15" s="205">
        <f>SUM(F13:F14)</f>
        <v/>
      </c>
      <c r="G15" s="206">
        <f>SUM(G13:G14)</f>
        <v/>
      </c>
      <c r="H15" s="205">
        <f>SUM(H13:H14)</f>
        <v/>
      </c>
      <c r="I15" s="206">
        <f>SUM(I13:I14)</f>
        <v/>
      </c>
      <c r="J15" s="205">
        <f>SUM(J13:J14)</f>
        <v/>
      </c>
      <c r="K15" s="206">
        <f>SUM(K13:K14)</f>
        <v/>
      </c>
      <c r="L15" s="205">
        <f>SUM(L13:L14)</f>
        <v/>
      </c>
      <c r="M15" s="206">
        <f>SUM(M13:M14)</f>
        <v/>
      </c>
      <c r="N15" s="154" t="n"/>
    </row>
    <row r="16" ht="18.75" customHeight="1">
      <c r="A16" s="163" t="inlineStr">
        <is>
          <t>Análise Financeira</t>
        </is>
      </c>
      <c r="B16" s="170" t="n"/>
      <c r="C16" s="170" t="n"/>
      <c r="E16" s="50" t="inlineStr">
        <is>
          <t>Totais/Fase</t>
        </is>
      </c>
      <c r="F16" s="208">
        <f>F12+F15</f>
        <v/>
      </c>
      <c r="G16" s="209">
        <f>G12+G15</f>
        <v/>
      </c>
      <c r="H16" s="208">
        <f>H12+H15</f>
        <v/>
      </c>
      <c r="I16" s="209">
        <f>I12+I15</f>
        <v/>
      </c>
      <c r="J16" s="208">
        <f>J12+J15</f>
        <v/>
      </c>
      <c r="K16" s="209">
        <f>K12+K15</f>
        <v/>
      </c>
      <c r="L16" s="208">
        <f>L12+L15</f>
        <v/>
      </c>
      <c r="M16" s="209">
        <f>M12+M15</f>
        <v/>
      </c>
      <c r="N16" s="210">
        <f>SUM(N7:N11,N13,N14)</f>
        <v/>
      </c>
    </row>
    <row r="17" ht="15" customHeight="1">
      <c r="A17" s="39" t="inlineStr">
        <is>
          <t>Valor hora média desenvolvedor</t>
        </is>
      </c>
      <c r="B17" s="211" t="n">
        <v>0</v>
      </c>
      <c r="C17" s="47" t="n"/>
      <c r="N17" s="83" t="n"/>
    </row>
    <row r="18" ht="15" customHeight="1">
      <c r="A18" s="39" t="inlineStr">
        <is>
          <t>Custo direto</t>
        </is>
      </c>
      <c r="B18" s="177">
        <f>B6*B17</f>
        <v/>
      </c>
      <c r="C18" s="47" t="n"/>
      <c r="L18" s="83" t="n"/>
      <c r="N18" s="83" t="n"/>
    </row>
    <row r="19" ht="15" customHeight="1">
      <c r="A19" s="39" t="inlineStr">
        <is>
          <t>Percentual do custo indireto</t>
        </is>
      </c>
      <c r="B19" s="172" t="n">
        <v>0</v>
      </c>
      <c r="C19" s="47" t="n"/>
      <c r="N19" s="83" t="n"/>
    </row>
    <row r="20" ht="15" customHeight="1">
      <c r="A20" s="39" t="inlineStr">
        <is>
          <t>Custo indireto</t>
        </is>
      </c>
      <c r="B20" s="178">
        <f>B18*B19</f>
        <v/>
      </c>
      <c r="C20" s="47" t="n"/>
      <c r="L20" s="83" t="n"/>
      <c r="N20" s="83" t="n"/>
    </row>
    <row r="21" ht="15.75" customHeight="1">
      <c r="A21" s="35" t="inlineStr">
        <is>
          <t>Custo total</t>
        </is>
      </c>
      <c r="B21" s="212">
        <f>B18+B20</f>
        <v/>
      </c>
      <c r="C21" s="47" t="n"/>
      <c r="N21" s="83" t="n"/>
    </row>
    <row r="22" ht="15" customHeight="1">
      <c r="A22" s="39" t="inlineStr">
        <is>
          <t>Percentual de lucro desejado</t>
        </is>
      </c>
      <c r="B22" s="172" t="n">
        <v>0</v>
      </c>
      <c r="C22" s="47" t="n"/>
      <c r="J22" s="83" t="n"/>
    </row>
    <row r="23" ht="15" customHeight="1">
      <c r="A23" s="39" t="inlineStr">
        <is>
          <t>Valor lucro</t>
        </is>
      </c>
      <c r="B23" s="180">
        <f>B21*B22</f>
        <v/>
      </c>
      <c r="C23" s="47" t="n"/>
    </row>
    <row r="24" ht="15.75" customHeight="1">
      <c r="A24" s="35" t="inlineStr">
        <is>
          <t>Preço final</t>
        </is>
      </c>
      <c r="B24" s="212">
        <f>B21+B23</f>
        <v/>
      </c>
      <c r="C24" s="47" t="n"/>
    </row>
    <row r="25" ht="15" customHeight="1"/>
    <row r="26" ht="15" customHeight="1">
      <c r="J26" s="83" t="n"/>
    </row>
    <row r="27" ht="15" customHeight="1">
      <c r="A27" t="inlineStr">
        <is>
          <t>NOTA — Estimativa por Análise de Pontos de Função, usada como segunda âncora da estimativa bottom-up da aba Planejamento.</t>
        </is>
      </c>
      <c r="J27" s="83" t="n"/>
    </row>
    <row r="28" ht="15" customHeight="1">
      <c r="A28" t="inlineStr">
        <is>
          <t>NOTA — RE-14: sem orçamento financeiro. Valor/hora, custo indireto e lucro zerados — projeto acadêmico.</t>
        </is>
      </c>
      <c r="N28" s="83" t="n"/>
    </row>
    <row r="29" ht="15" customHeight="1">
      <c r="N29" s="83" t="n"/>
    </row>
  </sheetData>
  <mergeCells count="13">
    <mergeCell ref="F4:G4"/>
    <mergeCell ref="J4:K4"/>
    <mergeCell ref="L4:M4"/>
    <mergeCell ref="J5:K5"/>
    <mergeCell ref="F5:G5"/>
    <mergeCell ref="E4:E6"/>
    <mergeCell ref="E3:N3"/>
    <mergeCell ref="H5:I5"/>
    <mergeCell ref="A3:C3"/>
    <mergeCell ref="L5:M5"/>
    <mergeCell ref="H4:I4"/>
    <mergeCell ref="A16:C16"/>
    <mergeCell ref="A1:N1"/>
  </mergeCells>
  <pageMargins left="0.511811023622047" right="0.511811023622047" top="1.181102362204725" bottom="1.181102362204725" header="0.78740157480315" footer="0.78740157480315"/>
  <pageSetup orientation="portrait" paperSize="0" fitToHeight="0" fitToWidth="0" horizontalDpi="0" verticalDpi="0" copies="0"/>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Edson Murakami</dc:creator>
  <dcterms:created xmlns:dcterms="http://purl.org/dc/terms/" xmlns:xsi="http://www.w3.org/2001/XMLSchema-instance" xsi:type="dcterms:W3CDTF">2025-06-04T07:35:10Z</dcterms:created>
  <dcterms:modified xmlns:dcterms="http://purl.org/dc/terms/" xmlns:xsi="http://www.w3.org/2001/XMLSchema-instance" xsi:type="dcterms:W3CDTF">2026-08-28T03:06:33Z</dcterms:modified>
  <cp:lastModifiedBy>Murakami Edson</cp:lastModifiedBy>
  <cp:revision>8</cp:revision>
</cp:coreProperties>
</file>