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551bae54654bf23/Desktop/Geral/Aulas/Engenharia_de_Software_1/CarregaJA/6.Gerenciamento de Projeto/"/>
    </mc:Choice>
  </mc:AlternateContent>
  <xr:revisionPtr revIDLastSave="16" documentId="11_183CC43917BA7F754A4ACE1A59262A9829DEB754" xr6:coauthVersionLast="47" xr6:coauthVersionMax="47" xr10:uidLastSave="{1CFD26AB-CDED-41D5-9B9A-3173A4C7682B}"/>
  <bookViews>
    <workbookView xWindow="-108" yWindow="-108" windowWidth="23256" windowHeight="12456" activeTab="1"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5" i="7" l="1"/>
  <c r="K15" i="7"/>
  <c r="I15" i="7"/>
  <c r="G15" i="7"/>
  <c r="M12" i="7"/>
  <c r="M16" i="7" s="1"/>
  <c r="K12" i="7"/>
  <c r="K16" i="7" s="1"/>
  <c r="I12" i="7"/>
  <c r="I16" i="7" s="1"/>
  <c r="G12" i="7"/>
  <c r="G16" i="7" s="1"/>
  <c r="B10" i="7"/>
  <c r="N23" i="6"/>
  <c r="N24" i="6" s="1"/>
  <c r="K15" i="6"/>
  <c r="K14" i="6"/>
  <c r="K13" i="6"/>
  <c r="K10" i="6"/>
  <c r="K16" i="6" s="1"/>
  <c r="N25" i="6" s="1"/>
  <c r="N27" i="6" s="1"/>
  <c r="B4" i="7" s="1"/>
  <c r="K9" i="6"/>
  <c r="F60" i="5"/>
  <c r="F59" i="5"/>
  <c r="F58" i="5"/>
  <c r="F57" i="5"/>
  <c r="F56" i="5"/>
  <c r="F55" i="5"/>
  <c r="F54" i="5"/>
  <c r="F53" i="5"/>
  <c r="F52" i="5"/>
  <c r="F51" i="5"/>
  <c r="F50" i="5"/>
  <c r="J12" i="4"/>
  <c r="J11" i="4"/>
  <c r="J10" i="4"/>
  <c r="J9" i="4"/>
  <c r="J8" i="4"/>
  <c r="J7" i="4"/>
  <c r="J6" i="4"/>
  <c r="J5" i="4"/>
  <c r="B8" i="3"/>
  <c r="D42" i="2"/>
  <c r="B4" i="3" s="1"/>
  <c r="B10" i="3" s="1"/>
  <c r="L18" i="2"/>
  <c r="L17" i="2"/>
  <c r="L16" i="2"/>
  <c r="L15" i="2"/>
  <c r="L14" i="2"/>
  <c r="L13" i="2"/>
  <c r="L12" i="2"/>
  <c r="L11" i="2"/>
  <c r="L10" i="2"/>
  <c r="L9" i="2"/>
  <c r="L8" i="2"/>
  <c r="L7" i="2"/>
  <c r="L6" i="2"/>
  <c r="L5" i="2"/>
  <c r="E2" i="4" l="1"/>
  <c r="B16" i="3"/>
  <c r="B11" i="3"/>
  <c r="B6" i="7"/>
  <c r="L6" i="7"/>
  <c r="J6" i="7"/>
  <c r="H6" i="7"/>
  <c r="H14" i="7" l="1"/>
  <c r="H9" i="7"/>
  <c r="H10" i="7"/>
  <c r="H7" i="7"/>
  <c r="H11" i="7"/>
  <c r="H13" i="7"/>
  <c r="H15" i="7" s="1"/>
  <c r="H8" i="7"/>
  <c r="L10" i="7"/>
  <c r="L7" i="7"/>
  <c r="L11" i="7"/>
  <c r="L13" i="7"/>
  <c r="L8" i="7"/>
  <c r="L14" i="7"/>
  <c r="L9" i="7"/>
  <c r="F6" i="7"/>
  <c r="B18" i="7"/>
  <c r="B11" i="7"/>
  <c r="B9" i="3"/>
  <c r="B12" i="3"/>
  <c r="B18" i="3"/>
  <c r="B19" i="3"/>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N16" i="7" s="1"/>
  <c r="L1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<sst xmlns="http://schemas.openxmlformats.org/spreadsheetml/2006/main" count="489" uniqueCount="341">
  <si>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</si>
  <si>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</si>
  <si>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</si>
  <si>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</si>
  <si>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</si>
  <si>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</si>
  <si>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</si>
  <si>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</si>
  <si>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</si>
  <si>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</si>
  <si>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</si>
  <si>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</si>
  <si>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</si>
  <si>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</si>
  <si>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</si>
  <si>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</si>
  <si>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</si>
  <si>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</si>
  <si>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</si>
  <si>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</si>
  <si>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</si>
  <si>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</si>
  <si>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</si>
  <si>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</si>
  <si>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</si>
  <si>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</si>
  <si>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</si>
  <si>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</si>
  <si>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</si>
  <si>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</si>
  <si>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</si>
  <si>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</si>
  <si>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</si>
  <si>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</si>
  <si>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</si>
  <si>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</si>
  <si>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</si>
  <si>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</si>
  <si>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</si>
  <si>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</si>
  <si>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</si>
  <si>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</si>
  <si>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</si>
  <si>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</si>
  <si>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</si>
  <si>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</si>
  <si>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</si>
  <si>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</si>
  <si>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</si>
  <si>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</si>
  <si>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</si>
  <si>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</si>
  <si>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</si>
  <si>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</si>
  <si>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</si>
  <si>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</si>
  <si>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</si>
  <si>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</si>
  <si>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</si>
  <si>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</si>
  <si>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Em execução</t>
  </si>
  <si>
    <t>Realizar o pré-projeto (definição do tema, formação da equipe e dos papéis)</t>
  </si>
  <si>
    <t>Prazo em semanas</t>
  </si>
  <si>
    <t>semanas</t>
  </si>
  <si>
    <t>Prazo em meses</t>
  </si>
  <si>
    <t>v-1.0.0</t>
  </si>
  <si>
    <t>meses</t>
  </si>
  <si>
    <t>Análise Financeira</t>
  </si>
  <si>
    <t>Valor hora média desenvolvedor</t>
  </si>
  <si>
    <t>Iniciação: Glossário, Planilha de PCP, Product Backlog e Checklist da fase</t>
  </si>
  <si>
    <t>Planejado</t>
  </si>
  <si>
    <t>Elaboração: ambiente de desenvolvimento, estudo de tecnologias e Documento de Arquitetura</t>
  </si>
  <si>
    <t>Custo direto</t>
  </si>
  <si>
    <t>Elaboração: arquitetura executável (UC03, UC04, UC06), Guia de Implementação e Checklist da fase</t>
  </si>
  <si>
    <t>v-2.0.0</t>
  </si>
  <si>
    <t>Construção: UC01, UC11, UC09 e UC10 (acesso e configuração do condomínio)</t>
  </si>
  <si>
    <t>Criar ambiente do projeto (repositório, estrutura SpinOff, submódulo, templates de issue/PR)</t>
  </si>
  <si>
    <t>Percentual do custo indireto</t>
  </si>
  <si>
    <t>Custo indireto</t>
  </si>
  <si>
    <t>v-3.0.0</t>
  </si>
  <si>
    <t>Custo</t>
  </si>
  <si>
    <t>Aplicar Checklist da fase (aba Ver-Iniciação1)</t>
  </si>
  <si>
    <t>v-4.0.0</t>
  </si>
  <si>
    <t>Elaboração</t>
  </si>
  <si>
    <t>Estudar tecnologias (Java web  RE-01, RE-02, RE-03)</t>
  </si>
  <si>
    <t>Preparar Ambiente de Desenvolvimento</t>
  </si>
  <si>
    <t>Definir Arquitetura (Documento de Arquitetura, Modelo de Dados, Modelo de Objetos)</t>
  </si>
  <si>
    <t>Criar Guia de Implementação</t>
  </si>
  <si>
    <t>Implementar e testar a arquitetura executável (UC03 + UC04 + UC06)</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</si>
  <si>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</si>
  <si>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</si>
  <si>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</si>
  <si>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</si>
  <si>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</si>
  <si>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</si>
  <si>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</si>
  <si>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Modelar, implementar e testar UC11  Manter Moradores</t>
  </si>
  <si>
    <t>Modelar, implementar e testar UC09  Manter Vagas com Carregador</t>
  </si>
  <si>
    <t>NOTA — As colunas do bloco REALIZADO são preenchidas na Reunião de Revisão do Sprint, à medida que cada sprint encerra.</t>
  </si>
  <si>
    <t>NOTA — RE-14: equipe de quatro estudantes com dedicação parcial e SEM orçamento financeiro. Por isso valor/hora,</t>
  </si>
  <si>
    <t>Modelar, implementar e testar UC10  Definir Tarifa de Energia</t>
  </si>
  <si>
    <t>custo indireto e lucro estão zerados: o projeto é acadêmico e não há aquisição de licenças, serviços ou equipamentos.</t>
  </si>
  <si>
    <t>Modelar, implementar e testar UC07  Manter Veículo</t>
  </si>
  <si>
    <t>NOTA — Margem de erro de 40% (padrão do template) mantida por a equipe não possuir base histórica de produtividade.</t>
  </si>
  <si>
    <t>Modelar, implementar e testar UC02  Consultar Painel de Vagas (estados derivados)</t>
  </si>
  <si>
    <t>Ela é a causa da diferença entre o esforço ajustado desta aba e a soma de horas do Plano de Entregas: ver risco RI-12.</t>
  </si>
  <si>
    <t>Modelar, implementar e testar UC05  Encerrar Sessão de Recarga</t>
  </si>
  <si>
    <t>Modelar, implementar e testar UC08  Consultar Consumo do Mês</t>
  </si>
  <si>
    <t>Modelar, implementar e testar UC12  Encerrar Sessão Órfã</t>
  </si>
  <si>
    <t>Modelar, implementar e testar UC13  Fechar Mês e Gerar Rateio</t>
  </si>
  <si>
    <t>Modelar, implementar e testar UC14  Consultar Histórico de Utilização</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</si>
  <si>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</si>
  <si>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</si>
  <si>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</si>
  <si>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</si>
  <si>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</si>
  <si>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</si>
  <si>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</si>
  <si>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</si>
  <si>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</si>
  <si>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</si>
  <si>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</si>
  <si>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</si>
  <si>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</si>
  <si>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</si>
  <si>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</si>
  <si>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</si>
  <si>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</si>
  <si>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</si>
  <si>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</si>
  <si>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</si>
  <si>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</si>
  <si>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</si>
  <si>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</si>
  <si>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</si>
  <si>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</si>
  <si>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</si>
  <si>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</si>
  <si>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</si>
  <si>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</si>
  <si>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</si>
  <si>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</si>
  <si>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</si>
  <si>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</si>
  <si>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</si>
  <si>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</si>
  <si>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</si>
  <si>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</si>
  <si>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</si>
  <si>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</si>
  <si>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</si>
  <si>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</si>
  <si>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</si>
  <si>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</si>
  <si>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</si>
  <si>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</si>
  <si>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</si>
  <si>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</si>
  <si>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</si>
  <si>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</si>
  <si>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</si>
  <si>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</si>
  <si>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</si>
  <si>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</si>
  <si>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</si>
  <si>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</si>
  <si>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</si>
  <si>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</si>
  <si>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</si>
  <si>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</si>
  <si>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</si>
  <si>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</si>
  <si>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</si>
  <si>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</si>
  <si>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</si>
  <si>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Cadastro do veículo feito uma única vez e visível ao síndico, que pode confrontá-lo com o documento do veículo. O sistema exibe a energia estimada ao morador no encerramento de cada sessão (UC05), permitindo contestação imediata.</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</si>
  <si>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</si>
  <si>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</si>
  <si>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</si>
  <si>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O painel (UC02) permite conferência visual entre as vagas exibidas como livres e as efetivamente ocupadas. O confronto entre o total apurado no fechamento (UC13) e a conta de luz da área comum revela consumo não registrado. Comunidade fechada e identificada: o controle social é instrumento relevante.</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</si>
  <si>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</si>
  <si>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</si>
  <si>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</si>
  <si>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</si>
  <si>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1. Síndico encerra administrativamente pelo UC12, com registro do responsável e do horário
2. Morador contesta o valor apurado com base nesse registro</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</si>
  <si>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</si>
  <si>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</si>
  <si>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</si>
  <si>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1. Levar a demanda reprimida medida no UC14 à assembleia
2. Tratar por instrumento de convivência do condomínio, fora do sistema
3. Ampliar a estrutura de vagas com carregador</t>
  </si>
  <si>
    <t>RI-05</t>
  </si>
  <si>
    <t>Divergência entre o total apurado e a conta de luz da área comum  a soma das estimativas não fecha com o consumo real medido pela concessionária.</t>
  </si>
  <si>
    <t>A apuração é por estimativa e assim deve ser apresentada. O fechamento do mês (UC13) exibe o total estimado do período, permitindo ao síndico compará-lo com a conta.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</si>
  <si>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</si>
  <si>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</si>
  <si>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</si>
  <si>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</si>
  <si>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</si>
  <si>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</si>
  <si>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UC04 e UC06 são tratados com prioridade na Elaboração, como arquitetura executável (sprints 3 e 4 do Plano de Entregas), por concentrarem o maior risco técnico do projeto.</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</si>
  <si>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</si>
  <si>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</si>
  <si>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</si>
  <si>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</si>
  <si>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</si>
  <si>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ACEITAR, com mitigação parcial. O painel informa a previsão de liberação, o que evita a maior parte das descidas inúteis. A demanda reprimida é medida no UC14 (tentativas de início recusadas).</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</si>
  <si>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</si>
  <si>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</si>
  <si>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</si>
  <si>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</si>
  <si>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</si>
  <si>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</si>
  <si>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</si>
  <si>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</si>
  <si>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</si>
  <si>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</si>
  <si>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</si>
  <si>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</si>
  <si>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</si>
  <si>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</si>
  <si>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</si>
  <si>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</si>
  <si>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</si>
  <si>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Morador (vinculado ao apartamento)</t>
  </si>
  <si>
    <t>UC01 — Autenticar Usuário</t>
  </si>
  <si>
    <t>ALI</t>
  </si>
  <si>
    <t>Comunicação de Dados</t>
  </si>
  <si>
    <t>Veículo</t>
  </si>
  <si>
    <t>UC10 — Definir Tarifa de Energia</t>
  </si>
  <si>
    <t>AIE</t>
  </si>
  <si>
    <t>Processamento de Dados Distribuído</t>
  </si>
  <si>
    <t>Estimativa de distribuição de esforço por Fase (horas)</t>
  </si>
  <si>
    <t>Vaga com carregador</t>
  </si>
  <si>
    <t>UC07 — Manter Veículo</t>
  </si>
  <si>
    <t>Esforço total estimado</t>
  </si>
  <si>
    <t>Funções Transacionais</t>
  </si>
  <si>
    <t>DISCIPLINAS</t>
  </si>
  <si>
    <t>Desempenho</t>
  </si>
  <si>
    <t>Tarifa de energia (histórico de vigência)</t>
  </si>
  <si>
    <t>UC09 — Manter Vagas com Carregador</t>
  </si>
  <si>
    <t>% de erro</t>
  </si>
  <si>
    <t>Totais/Disciplina</t>
  </si>
  <si>
    <t>Esforço total ajustado</t>
  </si>
  <si>
    <t>Utilização de Equipamento</t>
  </si>
  <si>
    <t>Tentativa de início recusada</t>
  </si>
  <si>
    <t>UC11 — Manter Moradores</t>
  </si>
  <si>
    <t>EE</t>
  </si>
  <si>
    <t>Volume de Transações</t>
  </si>
  <si>
    <t>x</t>
  </si>
  <si>
    <t>Sessão de recarga</t>
  </si>
  <si>
    <t>UC03 — Iniciar Sessão de Recarga (inclui UC04)</t>
  </si>
  <si>
    <t>Qde de pessoas (Desenvolvedores)</t>
  </si>
  <si>
    <t>Requisitos</t>
  </si>
  <si>
    <t>SE</t>
  </si>
  <si>
    <t>Entrada de Dados On-line</t>
  </si>
  <si>
    <t>Fechamento mensal / rateio por apartamento</t>
  </si>
  <si>
    <t>UC05 — Encerrar Sessão de Recarga (inclui UC06)</t>
  </si>
  <si>
    <t>Jornada de trabalho (semanal por desenvolvedor)</t>
  </si>
  <si>
    <t>Análise e Design</t>
  </si>
  <si>
    <t>CE</t>
  </si>
  <si>
    <t>Número de semanas por sprint</t>
  </si>
  <si>
    <t>Implementação</t>
  </si>
  <si>
    <t>Usabilidade</t>
  </si>
  <si>
    <t>Capacidade estimada do time/sprint</t>
  </si>
  <si>
    <t>UC12 — Encerrar Sessão Órfã (inclui UC06)</t>
  </si>
  <si>
    <t>PFNA - Pontos de Função Não Ajustados:</t>
  </si>
  <si>
    <t>Teste</t>
  </si>
  <si>
    <t>Qde de semanas estimada</t>
  </si>
  <si>
    <t>Implantação</t>
  </si>
  <si>
    <t>Qde de meses estimada</t>
  </si>
  <si>
    <t>Desenvolvimento</t>
  </si>
  <si>
    <t>Atualização On-line</t>
  </si>
  <si>
    <t>UC13 — Fechar Mês e Gerar Rateio (inclui UC06)</t>
  </si>
  <si>
    <t>Qde de Sprints sugerido</t>
  </si>
  <si>
    <t>Sprints</t>
  </si>
  <si>
    <t>Gerenciamento de Configuração</t>
  </si>
  <si>
    <t>Processamento Complexo</t>
  </si>
  <si>
    <t>UC02 — Consultar Painel de Vagas</t>
  </si>
  <si>
    <t>Gerenciamento de Projeto</t>
  </si>
  <si>
    <t>Reusabilidade</t>
  </si>
  <si>
    <t>UC08 — Consultar Consumo do Mês</t>
  </si>
  <si>
    <t>Gerenciamento do Projeto</t>
  </si>
  <si>
    <t>Facilidade de Implantação</t>
  </si>
  <si>
    <t>Totais/Fase</t>
  </si>
  <si>
    <t>UC14 — Consultar Histórico de Utilização</t>
  </si>
  <si>
    <t>Facilidade Operacional</t>
  </si>
  <si>
    <t>Consultar veículos cadastrados</t>
  </si>
  <si>
    <t>Múltiplos Locais e Organizações do Usuário</t>
  </si>
  <si>
    <t>Consultar vagas cadastradas</t>
  </si>
  <si>
    <t>Manutenibilidade</t>
  </si>
  <si>
    <t>Consultar tarifas vigentes</t>
  </si>
  <si>
    <t>NIT - Nível de Influência Total:</t>
  </si>
  <si>
    <t>Custo total</t>
  </si>
  <si>
    <t>VFA - Valor do Fator de Ajuste:</t>
  </si>
  <si>
    <t>PFA - Pontos de Função Ajustados:</t>
  </si>
  <si>
    <t>Produtividade da Tecnologia Escolhida (hs/pto):</t>
  </si>
  <si>
    <t>Preço final</t>
  </si>
  <si>
    <t>Esforço estimado (Horas):</t>
  </si>
  <si>
    <t>NOTA — Produtividade de 8 h/ponto de função, em substituição ao valor de referência de 19 h/pto do template.</t>
  </si>
  <si>
    <t>Justificativa: 19 h/pto é referência de projeto corporativo de grande porte. Para aplicação web Java de pequeno porte,</t>
  </si>
  <si>
    <t>com requisitos já detalhados e revisados (Visão v3.0, Modelo de Caso de Uso v3.0, História de Usuário v2.0), a faixa</t>
  </si>
  <si>
    <t>usual é de 6 a 10 h/pto. O valor 8 produz 768 h, contra 728 h da estimativa bottom-up da aba Planejamento —</t>
  </si>
  <si>
    <t>diferença de 5%, o que valida as duas estimativas mutuamente.</t>
  </si>
  <si>
    <t>NOTA — Estimativa por Análise de Pontos de Função, usada como segunda âncora da estimativa bottom-up da aba Planejamento.</t>
  </si>
  <si>
    <t>NOTA — AIE = 0: o sistema não se integra a nenhum sistema externo (RE-05, RE-07 e RE-10 do documento Visão).</t>
  </si>
  <si>
    <t>NOTA — RE-14: sem orçamento financeiro. Valor/hora, custo indireto e lucro zerados — projeto acadêmico.</t>
  </si>
  <si>
    <t>NOTA — UC04 e UC06 não são contados isoladamente: são executados por inclusão e já estão embutidos na complexidade</t>
  </si>
  <si>
    <t>Complexa atribuída a UC03, UC05, UC12 e UC13.</t>
  </si>
  <si>
    <t>UC04 — Calcular Previsão de Conclusão</t>
  </si>
  <si>
    <t>UC03 — Iniciar Sessão de Recarga</t>
  </si>
  <si>
    <t>UC06 — Apurar Energia da Sessão</t>
  </si>
  <si>
    <t>Especificar, Analisar e Projetar UC03, UC04 e UC06 (potência efetiva — maior risco técnico, RI-08)</t>
  </si>
  <si>
    <t>UC05 — Encerrar Sessão de Recarga</t>
  </si>
  <si>
    <t>UC13 — Fechar Mês e Gerar Rateio</t>
  </si>
  <si>
    <t>UC12 — Encerrar Sessão Órfã</t>
  </si>
  <si>
    <t>NOTA — Priorização VRDC conforme o Guia do SpinOff (Valor, Risco, Dependência e Complexidade Técnica, de 0 a 10). A coluna Seq. segue a cadeia de dependência, não a ordem de prioridade: UC07 habilita UC04, que habilita UC03, do qual dependem UC06 e UC05. Prioridade é a soma dos quatro critérios.</t>
  </si>
  <si>
    <t>Total estimado (h)</t>
  </si>
  <si>
    <t>NOTA — As estimativas em horas são PRELIMINARES, derivadas do escopo da Visão v3.1 e do Modelo de Caso de Uso v3.0. Serão confirmadas por Planning Poker na Reunião de Planejamento do Projeto, conforme registrado no artefato CARREGAJA - História de Usuário v3.0.</t>
  </si>
  <si>
    <t>NOTA — UC04 e UC06 são executados por inclusão (não há acesso direto de ator) e por isso não aparecem como tarefa isolada na Construção: são construídos na Elaboração, como arquitetura executável, por concentrarem o maior risco técnico do projeto (RI-08).</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</si>
  <si>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</si>
  <si>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</si>
  <si>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</si>
  <si>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</si>
  <si>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</si>
  <si>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</si>
  <si>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</si>
  <si>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</si>
  <si>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</si>
  <si>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</si>
  <si>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NOTA — Nenhum risco recebeu estratégia de Eliminação; por isso a coluna Plano de Eliminação está vazia. RI-04 e RI-11 são aceitos com mitigação parcial, conforme a seção 5 do documento Visão v3.1.</t>
  </si>
  <si>
    <t>NOTA — RI-01 a RI-11 são transcritos do documento CARREGAJA - Visão v3.1, preservando os identificadores originais para manter a rastreabilidade entre os dois artefatos.</t>
  </si>
  <si>
    <t>NOTA — A aba #Estimativa-APF# chega a 768 h pela contagem de pontos de função. A estimativa oficial do projeto é a desta aba: 280.3 h de esforço bruto, 392.4 h com a margem de 40% da aba Planejamento. A APF permanece como verificação independente, e a diferença entre as duas será reavaliada no Planning Poker.</t>
  </si>
  <si>
    <t>Construção: UC07, UC02, UC05 e UC08 (cadastro de veículo, painel de vagas, encerramento da sessão e consumo do mês)</t>
  </si>
  <si>
    <t>Construção: UC12, UC13 e UC14, testes de unidade e integração e Checklist da fase</t>
  </si>
  <si>
    <t>Transição: Roteiro e Massa de Teste, testes de sistema, correção de defeitos, Guia de Implantação, Manual do Usuário, implantação e Checklist da fase</t>
  </si>
  <si>
    <t>Os sprints 1 e 2 usam 56 h por coincidirem com o início do semestre. Total planejado: 496 h em oito sprints, de 17/08/2026 a 04/12/2026.</t>
  </si>
  <si>
    <t>NOTA — A Carga Horária Total (E2) traz o esforço ajustado da aba Planejamento: 392.4 h (280.3 h estimadas + 40% de margem). Contra as 496 h de capacidade dos oito sprints, sobra folga de 103.6 h. A folga absorve o Planning Poker e o risco RI-06 (indisponibilidade da equipe).</t>
  </si>
  <si>
    <t>Entregas incrementais por Sprint, revisão do planejamento antes de cada Sprint e acompanhamento diário do quadro de tarefas no GitHub Projects. O plano reserva folga de 103.6 h sobre a capacidade de 496 h, justamente para absorver a indisponibilidade.</t>
  </si>
  <si>
    <t xml:space="preserve">Número de SPRINTs </t>
  </si>
  <si>
    <t>Entregue</t>
  </si>
  <si>
    <t>Definir o Escopo do Sistema (Visão, Modelo de Caso de Uso e Glossário)</t>
  </si>
  <si>
    <t xml:space="preserve">Detalhar Requisitos  História de Usuário HU-01 a HU-14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</si>
</sst>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4" fillId="2" borderId="4" xfId="0" applyNumberFormat="1" applyFont="1" applyFill="1" applyBorder="1" applyAlignment="1">
      <alignment horizontal="center"/>
    </xf>
    <xf numFmtId="0" fontId="2" fillId="0" borderId="5" xfId="0" applyFont="1" applyBorder="1"/>
    <xf numFmtId="0" fontId="2" fillId="0" borderId="7" xfId="0" applyFont="1" applyBorder="1"/>
    <xf numFmtId="164" fontId="3" fillId="2" borderId="1" xfId="0" applyNumberFormat="1" applyFont="1" applyFill="1" applyBorder="1" applyAlignment="1">
      <alignment horizontal="left"/>
    </xf>
    <xf numFmtId="0" fontId="2" fillId="0" borderId="2" xfId="0" applyFont="1" applyBorder="1"/>
    <xf numFmtId="0" fontId="2" fillId="0" borderId="3" xfId="0" applyFont="1" applyBorder="1"/>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15" fillId="6" borderId="1" xfId="0" applyNumberFormat="1" applyFont="1" applyFill="1" applyBorder="1" applyAlignment="1">
      <alignment horizontal="center" vertical="center" wrapText="1"/>
    </xf>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5" fillId="2" borderId="4" xfId="0" applyNumberFormat="1" applyFont="1" applyFill="1" applyBorder="1" applyAlignment="1">
      <alignment horizontal="center" vertical="center" wrapText="1"/>
    </xf>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13" xfId="0" applyFont="1" applyBorder="1"/>
    <xf numFmtId="164" fontId="15" fillId="4" borderId="1" xfId="0" applyNumberFormat="1" applyFont="1" applyFill="1" applyBorder="1" applyAlignment="1">
      <alignment horizontal="center" vertical="center" wrapText="1"/>
    </xf>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24" fillId="12" borderId="1" xfId="0" applyNumberFormat="1" applyFont="1" applyFill="1" applyBorder="1" applyAlignment="1">
      <alignment vertical="top" wrapText="1"/>
    </xf>
    <xf numFmtId="0" fontId="23" fillId="12" borderId="1" xfId="0" applyFont="1" applyFill="1" applyBorder="1"/>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1"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cellXfs>
  <cellStyles count="1">
    <cellStyle name="Normal" xfId="0" builtinId="0"/>
  </cellStyles>
  <dxfs count="1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59765625" defaultRowHeight="15" customHeight="1"/>
  <cols>
    <col min="1" max="1" width="21.59765625" customWidth="1"/>
    <col min="2" max="2" width="44.69921875" customWidth="1"/>
    <col min="3" max="3" width="29.5" customWidth="1"/>
    <col min="4" max="6" width="8.09765625" customWidth="1"/>
    <col min="7" max="26" width="8.59765625" customWidth="1"/>
  </cols>
  <sheetData>
    <row r="1" spans="1:26" ht="20.25" customHeight="1">
      <c r="A1" s="124" t="s">
        <v>0</v>
      </c>
      <c r="B1" s="120"/>
      <c r="C1" s="121"/>
      <c r="D1" s="1"/>
      <c r="E1" s="1"/>
      <c r="F1" s="1"/>
      <c r="G1" s="1"/>
      <c r="H1" s="1"/>
      <c r="I1" s="1"/>
      <c r="J1" s="1"/>
      <c r="K1" s="1"/>
      <c r="L1" s="1"/>
      <c r="M1" s="1"/>
      <c r="N1" s="1"/>
      <c r="O1" s="1"/>
      <c r="P1" s="1"/>
      <c r="Q1" s="1"/>
      <c r="R1" s="1"/>
      <c r="S1" s="1"/>
      <c r="T1" s="1"/>
      <c r="U1" s="1"/>
      <c r="V1" s="1"/>
      <c r="W1" s="1"/>
      <c r="X1" s="1"/>
      <c r="Y1" s="1"/>
      <c r="Z1" s="1"/>
    </row>
    <row r="2" spans="1:26" ht="25.5" customHeight="1">
      <c r="A2" s="125" t="s">
        <v>4</v>
      </c>
      <c r="B2" s="120"/>
      <c r="C2" s="121"/>
      <c r="D2" s="1"/>
      <c r="E2" s="1"/>
      <c r="F2" s="1"/>
      <c r="G2" s="1"/>
      <c r="H2" s="1"/>
      <c r="I2" s="1"/>
      <c r="J2" s="1"/>
      <c r="K2" s="1"/>
      <c r="L2" s="1"/>
      <c r="M2" s="1"/>
      <c r="N2" s="1"/>
      <c r="O2" s="1"/>
      <c r="P2" s="1"/>
      <c r="Q2" s="1"/>
      <c r="R2" s="1"/>
      <c r="S2" s="1"/>
      <c r="T2" s="1"/>
      <c r="U2" s="1"/>
      <c r="V2" s="1"/>
      <c r="W2" s="1"/>
      <c r="X2" s="1"/>
      <c r="Y2" s="1"/>
      <c r="Z2" s="1"/>
    </row>
    <row r="3" spans="1:26" ht="15" customHeight="1">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c r="A8" s="7"/>
      <c r="B8" s="7"/>
      <c r="C8" s="7"/>
      <c r="D8" s="1"/>
      <c r="E8" s="1"/>
      <c r="F8" s="1"/>
      <c r="G8" s="1"/>
      <c r="H8" s="1"/>
      <c r="I8" s="1"/>
      <c r="J8" s="1"/>
      <c r="K8" s="1"/>
      <c r="L8" s="1"/>
      <c r="M8" s="1"/>
      <c r="N8" s="1"/>
      <c r="O8" s="1"/>
      <c r="P8" s="1"/>
      <c r="Q8" s="1"/>
      <c r="R8" s="1"/>
      <c r="S8" s="1"/>
      <c r="T8" s="1"/>
      <c r="U8" s="1"/>
      <c r="V8" s="1"/>
      <c r="W8" s="1"/>
      <c r="X8" s="1"/>
      <c r="Y8" s="1"/>
      <c r="Z8" s="1"/>
    </row>
    <row r="9" spans="1:26" ht="15" customHeight="1">
      <c r="A9" s="7"/>
      <c r="B9" s="7"/>
      <c r="C9" s="7"/>
      <c r="D9" s="1"/>
      <c r="E9" s="1"/>
      <c r="F9" s="1"/>
      <c r="G9" s="1"/>
      <c r="H9" s="1"/>
      <c r="I9" s="1"/>
      <c r="J9" s="1"/>
      <c r="K9" s="1"/>
      <c r="L9" s="1"/>
      <c r="M9" s="1"/>
      <c r="N9" s="1"/>
      <c r="O9" s="1"/>
      <c r="P9" s="1"/>
      <c r="Q9" s="1"/>
      <c r="R9" s="1"/>
      <c r="S9" s="1"/>
      <c r="T9" s="1"/>
      <c r="U9" s="1"/>
      <c r="V9" s="1"/>
      <c r="W9" s="1"/>
      <c r="X9" s="1"/>
      <c r="Y9" s="1"/>
      <c r="Z9" s="1"/>
    </row>
    <row r="10" spans="1:26" ht="15" customHeight="1">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tabSelected="1" workbookViewId="0">
      <selection activeCell="C8" sqref="C8"/>
    </sheetView>
  </sheetViews>
  <sheetFormatPr defaultColWidth="12.59765625" defaultRowHeight="15" customHeight="1"/>
  <cols>
    <col min="1" max="1" width="10.19921875" customWidth="1"/>
    <col min="2" max="2" width="11.59765625" customWidth="1"/>
    <col min="3" max="3" width="64.19921875" customWidth="1"/>
    <col min="4" max="4" width="8.69921875" customWidth="1"/>
    <col min="5" max="5" width="1.59765625" customWidth="1"/>
    <col min="6" max="6" width="4.19921875" customWidth="1"/>
    <col min="7" max="7" width="18.8984375" customWidth="1"/>
    <col min="8" max="9" width="8.5" customWidth="1"/>
    <col min="10" max="10" width="10.69921875" customWidth="1"/>
    <col min="11" max="11" width="11.8984375" customWidth="1"/>
    <col min="12" max="12" width="8.5" customWidth="1"/>
    <col min="13" max="26" width="8.59765625" customWidth="1"/>
  </cols>
  <sheetData>
    <row r="1" spans="1:26" ht="12" customHeight="1">
      <c r="A1" s="130" t="s">
        <v>3</v>
      </c>
      <c r="B1" s="131"/>
      <c r="C1" s="131"/>
      <c r="D1" s="132"/>
      <c r="E1" s="3"/>
      <c r="F1" s="133" t="s">
        <v>7</v>
      </c>
      <c r="G1" s="117"/>
      <c r="H1" s="117"/>
      <c r="I1" s="117"/>
      <c r="J1" s="117"/>
      <c r="K1" s="117"/>
      <c r="L1" s="118"/>
      <c r="M1" s="3"/>
      <c r="N1" s="3"/>
      <c r="O1" s="3"/>
      <c r="P1" s="3"/>
      <c r="Q1" s="3"/>
      <c r="R1" s="3"/>
      <c r="S1" s="3"/>
      <c r="T1" s="3"/>
      <c r="U1" s="3"/>
      <c r="V1" s="3"/>
      <c r="W1" s="3"/>
      <c r="X1" s="3"/>
      <c r="Y1" s="3"/>
      <c r="Z1" s="3"/>
    </row>
    <row r="2" spans="1:26" ht="42" customHeight="1">
      <c r="A2" s="134" t="s">
        <v>11</v>
      </c>
      <c r="B2" s="117"/>
      <c r="C2" s="117"/>
      <c r="D2" s="118"/>
      <c r="E2" s="3"/>
      <c r="F2" s="135" t="s">
        <v>14</v>
      </c>
      <c r="G2" s="120"/>
      <c r="H2" s="120"/>
      <c r="I2" s="120"/>
      <c r="J2" s="120"/>
      <c r="K2" s="120"/>
      <c r="L2" s="136"/>
      <c r="M2" s="3"/>
      <c r="N2" s="3"/>
      <c r="O2" s="3"/>
      <c r="P2" s="3"/>
      <c r="Q2" s="3"/>
      <c r="R2" s="3"/>
      <c r="S2" s="3"/>
      <c r="T2" s="3"/>
      <c r="U2" s="3"/>
      <c r="V2" s="3"/>
      <c r="W2" s="3"/>
      <c r="X2" s="3"/>
      <c r="Y2" s="3"/>
      <c r="Z2" s="3"/>
    </row>
    <row r="3" spans="1:26" ht="24" customHeight="1">
      <c r="A3" s="14" t="s">
        <v>27</v>
      </c>
      <c r="B3" s="14" t="s">
        <v>31</v>
      </c>
      <c r="C3" s="14" t="s">
        <v>32</v>
      </c>
      <c r="D3" s="14" t="s">
        <v>33</v>
      </c>
      <c r="E3" s="3"/>
      <c r="F3" s="14" t="s">
        <v>27</v>
      </c>
      <c r="G3" s="18" t="s">
        <v>34</v>
      </c>
      <c r="H3" s="137" t="s">
        <v>7</v>
      </c>
      <c r="I3" s="120"/>
      <c r="J3" s="120"/>
      <c r="K3" s="120"/>
      <c r="L3" s="121"/>
      <c r="M3" s="3"/>
      <c r="N3" s="3"/>
      <c r="O3" s="3"/>
      <c r="P3" s="3"/>
      <c r="Q3" s="3"/>
      <c r="R3" s="3"/>
      <c r="S3" s="3"/>
      <c r="T3" s="3"/>
      <c r="U3" s="3"/>
      <c r="V3" s="3"/>
      <c r="W3" s="3"/>
      <c r="X3" s="3"/>
      <c r="Y3" s="3"/>
      <c r="Z3" s="3"/>
    </row>
    <row r="4" spans="1:26" ht="24" customHeight="1">
      <c r="A4" s="126" t="s">
        <v>40</v>
      </c>
      <c r="B4" s="120"/>
      <c r="C4" s="121"/>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c r="A5" s="33">
        <v>1</v>
      </c>
      <c r="B5" s="36" t="s">
        <v>40</v>
      </c>
      <c r="C5" s="38" t="s">
        <v>61</v>
      </c>
      <c r="D5" s="39">
        <v>5.12</v>
      </c>
      <c r="E5" s="3"/>
      <c r="F5" s="42">
        <v>1</v>
      </c>
      <c r="G5" s="38" t="s">
        <v>223</v>
      </c>
      <c r="H5" s="43">
        <v>6</v>
      </c>
      <c r="I5" s="43">
        <v>8</v>
      </c>
      <c r="J5" s="43">
        <v>10</v>
      </c>
      <c r="K5" s="43">
        <v>3</v>
      </c>
      <c r="L5" s="47">
        <f t="shared" ref="L5:L18" si="0">SUM(H5:K5)</f>
        <v>27</v>
      </c>
      <c r="M5" s="3"/>
      <c r="N5" s="3"/>
      <c r="O5" s="3"/>
      <c r="P5" s="3"/>
      <c r="Q5" s="3"/>
      <c r="R5" s="3"/>
      <c r="S5" s="3"/>
      <c r="T5" s="3"/>
      <c r="U5" s="3"/>
      <c r="V5" s="3"/>
      <c r="W5" s="3"/>
      <c r="X5" s="3"/>
      <c r="Y5" s="3"/>
      <c r="Z5" s="3"/>
    </row>
    <row r="6" spans="1:26" ht="30" customHeight="1">
      <c r="A6" s="33">
        <v>2</v>
      </c>
      <c r="B6" s="36" t="s">
        <v>40</v>
      </c>
      <c r="C6" s="38" t="s">
        <v>76</v>
      </c>
      <c r="D6" s="39">
        <v>6.4</v>
      </c>
      <c r="E6" s="3"/>
      <c r="F6" s="42">
        <v>2</v>
      </c>
      <c r="G6" s="38" t="s">
        <v>244</v>
      </c>
      <c r="H6" s="43">
        <v>7</v>
      </c>
      <c r="I6" s="43">
        <v>8</v>
      </c>
      <c r="J6" s="43">
        <v>10</v>
      </c>
      <c r="K6" s="43">
        <v>3</v>
      </c>
      <c r="L6" s="47">
        <f t="shared" si="0"/>
        <v>28</v>
      </c>
      <c r="M6" s="3"/>
      <c r="N6" s="3"/>
      <c r="O6" s="3"/>
      <c r="P6" s="3"/>
      <c r="Q6" s="3"/>
      <c r="R6" s="3"/>
      <c r="S6" s="3"/>
      <c r="T6" s="3"/>
      <c r="U6" s="3"/>
      <c r="V6" s="3"/>
      <c r="W6" s="3"/>
      <c r="X6" s="3"/>
      <c r="Y6" s="3"/>
      <c r="Z6" s="3"/>
    </row>
    <row r="7" spans="1:26" ht="30" customHeight="1">
      <c r="A7" s="33">
        <v>3</v>
      </c>
      <c r="B7" s="36" t="s">
        <v>40</v>
      </c>
      <c r="C7" s="38" t="s">
        <v>339</v>
      </c>
      <c r="D7" s="39">
        <v>9.6</v>
      </c>
      <c r="E7" s="3"/>
      <c r="F7" s="42">
        <v>3</v>
      </c>
      <c r="G7" s="38" t="s">
        <v>238</v>
      </c>
      <c r="H7" s="43">
        <v>7</v>
      </c>
      <c r="I7" s="43">
        <v>8</v>
      </c>
      <c r="J7" s="43">
        <v>10</v>
      </c>
      <c r="K7" s="43">
        <v>3</v>
      </c>
      <c r="L7" s="47">
        <f t="shared" si="0"/>
        <v>28</v>
      </c>
      <c r="M7" s="3"/>
      <c r="N7" s="3"/>
      <c r="O7" s="3"/>
      <c r="P7" s="3"/>
      <c r="Q7" s="3"/>
      <c r="R7" s="3"/>
      <c r="S7" s="3"/>
      <c r="T7" s="3"/>
      <c r="U7" s="3"/>
      <c r="V7" s="3"/>
      <c r="W7" s="3"/>
      <c r="X7" s="3"/>
      <c r="Y7" s="3"/>
      <c r="Z7" s="3"/>
    </row>
    <row r="8" spans="1:26" ht="30" customHeight="1">
      <c r="A8" s="33">
        <v>4</v>
      </c>
      <c r="B8" s="36" t="s">
        <v>40</v>
      </c>
      <c r="C8" s="38" t="s">
        <v>340</v>
      </c>
      <c r="D8" s="39">
        <v>9.6</v>
      </c>
      <c r="E8" s="3"/>
      <c r="F8" s="42">
        <v>4</v>
      </c>
      <c r="G8" s="38" t="s">
        <v>227</v>
      </c>
      <c r="H8" s="43">
        <v>8</v>
      </c>
      <c r="I8" s="43">
        <v>8</v>
      </c>
      <c r="J8" s="43">
        <v>10</v>
      </c>
      <c r="K8" s="43">
        <v>2</v>
      </c>
      <c r="L8" s="47">
        <f t="shared" si="0"/>
        <v>28</v>
      </c>
      <c r="M8" s="3"/>
      <c r="N8" s="3"/>
      <c r="O8" s="3"/>
      <c r="P8" s="3"/>
      <c r="Q8" s="3"/>
      <c r="R8" s="3"/>
      <c r="S8" s="3"/>
      <c r="T8" s="3"/>
      <c r="U8" s="3"/>
      <c r="V8" s="3"/>
      <c r="W8" s="3"/>
      <c r="X8" s="3"/>
      <c r="Y8" s="3"/>
      <c r="Z8" s="3"/>
    </row>
    <row r="9" spans="1:26" ht="30" customHeight="1">
      <c r="A9" s="33">
        <v>6</v>
      </c>
      <c r="B9" s="36" t="s">
        <v>40</v>
      </c>
      <c r="C9" s="38" t="s">
        <v>81</v>
      </c>
      <c r="D9" s="39">
        <v>3.84</v>
      </c>
      <c r="E9" s="3"/>
      <c r="F9" s="42">
        <v>5</v>
      </c>
      <c r="G9" s="38" t="s">
        <v>232</v>
      </c>
      <c r="H9" s="43">
        <v>8</v>
      </c>
      <c r="I9" s="43">
        <v>7</v>
      </c>
      <c r="J9" s="43">
        <v>10</v>
      </c>
      <c r="K9" s="43">
        <v>3</v>
      </c>
      <c r="L9" s="47">
        <f t="shared" si="0"/>
        <v>28</v>
      </c>
      <c r="M9" s="3"/>
      <c r="N9" s="3"/>
      <c r="O9" s="3"/>
      <c r="P9" s="3"/>
      <c r="Q9" s="3"/>
      <c r="R9" s="3"/>
      <c r="S9" s="3"/>
      <c r="T9" s="3"/>
      <c r="U9" s="3"/>
      <c r="V9" s="3"/>
      <c r="W9" s="3"/>
      <c r="X9" s="3"/>
      <c r="Y9" s="3"/>
      <c r="Z9" s="3"/>
    </row>
    <row r="10" spans="1:26" ht="30" customHeight="1">
      <c r="A10" s="126" t="s">
        <v>83</v>
      </c>
      <c r="B10" s="120"/>
      <c r="C10" s="121"/>
      <c r="D10" s="23"/>
      <c r="E10" s="3"/>
      <c r="F10" s="42">
        <v>6</v>
      </c>
      <c r="G10" s="38" t="s">
        <v>307</v>
      </c>
      <c r="H10" s="43">
        <v>9</v>
      </c>
      <c r="I10" s="43">
        <v>9</v>
      </c>
      <c r="J10" s="43">
        <v>10</v>
      </c>
      <c r="K10" s="43">
        <v>9</v>
      </c>
      <c r="L10" s="47">
        <f t="shared" si="0"/>
        <v>37</v>
      </c>
      <c r="M10" s="3"/>
      <c r="N10" s="3"/>
      <c r="O10" s="3"/>
      <c r="P10" s="3"/>
      <c r="Q10" s="3"/>
      <c r="R10" s="3"/>
      <c r="S10" s="3"/>
      <c r="T10" s="3"/>
      <c r="U10" s="3"/>
      <c r="V10" s="3"/>
      <c r="W10" s="3"/>
      <c r="X10" s="3"/>
      <c r="Y10" s="3"/>
      <c r="Z10" s="3"/>
    </row>
    <row r="11" spans="1:26" ht="30" customHeight="1">
      <c r="A11" s="33">
        <v>9</v>
      </c>
      <c r="B11" s="36" t="s">
        <v>83</v>
      </c>
      <c r="C11" s="38" t="s">
        <v>84</v>
      </c>
      <c r="D11" s="39">
        <v>10.24</v>
      </c>
      <c r="E11" s="3"/>
      <c r="F11" s="42">
        <v>7</v>
      </c>
      <c r="G11" s="38" t="s">
        <v>308</v>
      </c>
      <c r="H11" s="43">
        <v>10</v>
      </c>
      <c r="I11" s="43">
        <v>8</v>
      </c>
      <c r="J11" s="43">
        <v>10</v>
      </c>
      <c r="K11" s="43">
        <v>7</v>
      </c>
      <c r="L11" s="47">
        <f t="shared" si="0"/>
        <v>35</v>
      </c>
      <c r="M11" s="3"/>
      <c r="N11" s="3"/>
      <c r="O11" s="3"/>
      <c r="P11" s="3"/>
      <c r="Q11" s="3"/>
      <c r="R11" s="3"/>
      <c r="S11" s="3"/>
      <c r="T11" s="3"/>
      <c r="U11" s="3"/>
      <c r="V11" s="3"/>
      <c r="W11" s="3"/>
      <c r="X11" s="3"/>
      <c r="Y11" s="3"/>
      <c r="Z11" s="3"/>
    </row>
    <row r="12" spans="1:26" ht="30" customHeight="1">
      <c r="A12" s="33">
        <v>10</v>
      </c>
      <c r="B12" s="36" t="s">
        <v>83</v>
      </c>
      <c r="C12" s="38" t="s">
        <v>85</v>
      </c>
      <c r="D12" s="39">
        <v>6.4</v>
      </c>
      <c r="E12" s="3"/>
      <c r="F12" s="42">
        <v>8</v>
      </c>
      <c r="G12" s="38" t="s">
        <v>309</v>
      </c>
      <c r="H12" s="43">
        <v>10</v>
      </c>
      <c r="I12" s="43">
        <v>9</v>
      </c>
      <c r="J12" s="43">
        <v>10</v>
      </c>
      <c r="K12" s="43">
        <v>9</v>
      </c>
      <c r="L12" s="47">
        <f t="shared" si="0"/>
        <v>38</v>
      </c>
      <c r="M12" s="3"/>
      <c r="N12" s="3"/>
      <c r="O12" s="3"/>
      <c r="P12" s="3"/>
      <c r="Q12" s="3"/>
      <c r="R12" s="3"/>
      <c r="S12" s="3"/>
      <c r="T12" s="3"/>
      <c r="U12" s="3"/>
      <c r="V12" s="3"/>
      <c r="W12" s="3"/>
      <c r="X12" s="3"/>
      <c r="Y12" s="3"/>
      <c r="Z12" s="3"/>
    </row>
    <row r="13" spans="1:26" ht="30" customHeight="1">
      <c r="A13" s="33">
        <v>11</v>
      </c>
      <c r="B13" s="36" t="s">
        <v>83</v>
      </c>
      <c r="C13" s="38" t="s">
        <v>310</v>
      </c>
      <c r="D13" s="39">
        <v>12.8</v>
      </c>
      <c r="E13" s="3"/>
      <c r="F13" s="42">
        <v>9</v>
      </c>
      <c r="G13" s="38" t="s">
        <v>311</v>
      </c>
      <c r="H13" s="43">
        <v>9</v>
      </c>
      <c r="I13" s="43">
        <v>7</v>
      </c>
      <c r="J13" s="43">
        <v>0</v>
      </c>
      <c r="K13" s="43">
        <v>5</v>
      </c>
      <c r="L13" s="47">
        <f t="shared" si="0"/>
        <v>21</v>
      </c>
      <c r="M13" s="3"/>
      <c r="N13" s="3"/>
      <c r="O13" s="3"/>
      <c r="P13" s="3"/>
      <c r="Q13" s="3"/>
      <c r="R13" s="3"/>
      <c r="S13" s="3"/>
      <c r="T13" s="3"/>
      <c r="U13" s="3"/>
      <c r="V13" s="3"/>
      <c r="W13" s="3"/>
      <c r="X13" s="3"/>
      <c r="Y13" s="3"/>
      <c r="Z13" s="3"/>
    </row>
    <row r="14" spans="1:26" ht="30" customHeight="1">
      <c r="A14" s="33">
        <v>12</v>
      </c>
      <c r="B14" s="36" t="s">
        <v>83</v>
      </c>
      <c r="C14" s="38" t="s">
        <v>86</v>
      </c>
      <c r="D14" s="39">
        <v>15.36</v>
      </c>
      <c r="E14" s="3"/>
      <c r="F14" s="42">
        <v>10</v>
      </c>
      <c r="G14" s="38" t="s">
        <v>276</v>
      </c>
      <c r="H14" s="43">
        <v>10</v>
      </c>
      <c r="I14" s="43">
        <v>8</v>
      </c>
      <c r="J14" s="43">
        <v>0</v>
      </c>
      <c r="K14" s="43">
        <v>6</v>
      </c>
      <c r="L14" s="47">
        <f t="shared" si="0"/>
        <v>24</v>
      </c>
      <c r="M14" s="3"/>
      <c r="N14" s="3"/>
      <c r="O14" s="3"/>
      <c r="P14" s="3"/>
      <c r="Q14" s="3"/>
      <c r="R14" s="3"/>
      <c r="S14" s="3"/>
      <c r="T14" s="3"/>
      <c r="U14" s="3"/>
      <c r="V14" s="3"/>
      <c r="W14" s="3"/>
      <c r="X14" s="3"/>
      <c r="Y14" s="3"/>
      <c r="Z14" s="3"/>
    </row>
    <row r="15" spans="1:26" ht="42.75" customHeight="1">
      <c r="A15" s="33">
        <v>13</v>
      </c>
      <c r="B15" s="36" t="s">
        <v>83</v>
      </c>
      <c r="C15" s="38" t="s">
        <v>87</v>
      </c>
      <c r="D15" s="39">
        <v>5.12</v>
      </c>
      <c r="E15" s="3"/>
      <c r="F15" s="42">
        <v>11</v>
      </c>
      <c r="G15" s="38" t="s">
        <v>312</v>
      </c>
      <c r="H15" s="43">
        <v>10</v>
      </c>
      <c r="I15" s="43">
        <v>9</v>
      </c>
      <c r="J15" s="43">
        <v>0</v>
      </c>
      <c r="K15" s="43">
        <v>6</v>
      </c>
      <c r="L15" s="47">
        <f t="shared" si="0"/>
        <v>25</v>
      </c>
      <c r="M15" s="3"/>
      <c r="N15" s="3"/>
      <c r="O15" s="3"/>
      <c r="P15" s="3"/>
      <c r="Q15" s="3"/>
      <c r="R15" s="3"/>
      <c r="S15" s="3"/>
      <c r="T15" s="3"/>
      <c r="U15" s="3"/>
      <c r="V15" s="3"/>
      <c r="W15" s="3"/>
      <c r="X15" s="3"/>
      <c r="Y15" s="3"/>
      <c r="Z15" s="3"/>
    </row>
    <row r="16" spans="1:26" ht="30" customHeight="1">
      <c r="A16" s="33">
        <v>14</v>
      </c>
      <c r="B16" s="36" t="s">
        <v>83</v>
      </c>
      <c r="C16" s="38" t="s">
        <v>88</v>
      </c>
      <c r="D16" s="39">
        <v>20.48</v>
      </c>
      <c r="E16" s="3"/>
      <c r="F16" s="42">
        <v>12</v>
      </c>
      <c r="G16" s="38" t="s">
        <v>313</v>
      </c>
      <c r="H16" s="43">
        <v>7</v>
      </c>
      <c r="I16" s="43">
        <v>6</v>
      </c>
      <c r="J16" s="43">
        <v>0</v>
      </c>
      <c r="K16" s="43">
        <v>4</v>
      </c>
      <c r="L16" s="47">
        <f t="shared" si="0"/>
        <v>17</v>
      </c>
      <c r="M16" s="3"/>
      <c r="N16" s="3"/>
      <c r="O16" s="3"/>
      <c r="P16" s="3"/>
      <c r="Q16" s="3"/>
      <c r="R16" s="3"/>
      <c r="S16" s="3"/>
      <c r="T16" s="3"/>
      <c r="U16" s="3"/>
      <c r="V16" s="3"/>
      <c r="W16" s="3"/>
      <c r="X16" s="3"/>
      <c r="Y16" s="3"/>
      <c r="Z16" s="3"/>
    </row>
    <row r="17" spans="1:26" ht="17.25" customHeight="1">
      <c r="A17" s="33">
        <v>15</v>
      </c>
      <c r="B17" s="36" t="s">
        <v>83</v>
      </c>
      <c r="C17" s="38" t="s">
        <v>92</v>
      </c>
      <c r="D17" s="39">
        <v>3.84</v>
      </c>
      <c r="E17" s="3"/>
      <c r="F17" s="42">
        <v>13</v>
      </c>
      <c r="G17" s="38" t="s">
        <v>279</v>
      </c>
      <c r="H17" s="43">
        <v>7</v>
      </c>
      <c r="I17" s="43">
        <v>5</v>
      </c>
      <c r="J17" s="43">
        <v>0</v>
      </c>
      <c r="K17" s="43">
        <v>3</v>
      </c>
      <c r="L17" s="47">
        <f t="shared" si="0"/>
        <v>15</v>
      </c>
      <c r="M17" s="3"/>
      <c r="N17" s="3"/>
      <c r="O17" s="3"/>
      <c r="P17" s="3"/>
      <c r="Q17" s="3"/>
      <c r="R17" s="3"/>
      <c r="S17" s="3"/>
      <c r="T17" s="3"/>
      <c r="U17" s="3"/>
      <c r="V17" s="3"/>
      <c r="W17" s="3"/>
      <c r="X17" s="3"/>
      <c r="Y17" s="3"/>
      <c r="Z17" s="3"/>
    </row>
    <row r="18" spans="1:26" ht="17.25" customHeight="1">
      <c r="A18" s="126" t="s">
        <v>93</v>
      </c>
      <c r="B18" s="120"/>
      <c r="C18" s="121"/>
      <c r="D18" s="23"/>
      <c r="E18" s="3"/>
      <c r="F18" s="42">
        <v>14</v>
      </c>
      <c r="G18" s="38" t="s">
        <v>283</v>
      </c>
      <c r="H18" s="43">
        <v>6</v>
      </c>
      <c r="I18" s="43">
        <v>4</v>
      </c>
      <c r="J18" s="43">
        <v>0</v>
      </c>
      <c r="K18" s="43">
        <v>5</v>
      </c>
      <c r="L18" s="47">
        <f t="shared" si="0"/>
        <v>15</v>
      </c>
      <c r="M18" s="3"/>
      <c r="N18" s="3"/>
      <c r="O18" s="3"/>
      <c r="P18" s="3"/>
      <c r="Q18" s="3"/>
      <c r="R18" s="3"/>
      <c r="S18" s="3"/>
      <c r="T18" s="3"/>
      <c r="U18" s="3"/>
      <c r="V18" s="3"/>
      <c r="W18" s="3"/>
      <c r="X18" s="3"/>
      <c r="Y18" s="3"/>
      <c r="Z18" s="3"/>
    </row>
    <row r="19" spans="1:26" ht="17.25" customHeight="1">
      <c r="A19" s="33">
        <v>18</v>
      </c>
      <c r="B19" s="36" t="s">
        <v>93</v>
      </c>
      <c r="C19" s="38" t="s">
        <v>94</v>
      </c>
      <c r="D19" s="39">
        <v>7.68</v>
      </c>
      <c r="E19" s="3"/>
      <c r="F19" s="3"/>
      <c r="G19" s="59" t="s">
        <v>314</v>
      </c>
      <c r="H19" s="3"/>
      <c r="I19" s="3"/>
      <c r="J19" s="3"/>
      <c r="K19" s="3"/>
      <c r="L19" s="3"/>
      <c r="M19" s="3"/>
      <c r="N19" s="3"/>
      <c r="O19" s="3"/>
      <c r="P19" s="3"/>
      <c r="Q19" s="3"/>
      <c r="R19" s="3"/>
      <c r="S19" s="3"/>
      <c r="T19" s="3"/>
      <c r="U19" s="3"/>
      <c r="V19" s="3"/>
      <c r="W19" s="3"/>
      <c r="X19" s="3"/>
      <c r="Y19" s="3"/>
      <c r="Z19" s="3"/>
    </row>
    <row r="20" spans="1:26" ht="17.25" customHeight="1">
      <c r="A20" s="33">
        <v>19</v>
      </c>
      <c r="B20" s="36" t="s">
        <v>93</v>
      </c>
      <c r="C20" s="38" t="s">
        <v>96</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c r="A21" s="33">
        <v>20</v>
      </c>
      <c r="B21" s="36" t="s">
        <v>93</v>
      </c>
      <c r="C21" s="38" t="s">
        <v>97</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c r="A22" s="33">
        <v>21</v>
      </c>
      <c r="B22" s="36" t="s">
        <v>93</v>
      </c>
      <c r="C22" s="38" t="s">
        <v>100</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c r="A23" s="33">
        <v>22</v>
      </c>
      <c r="B23" s="36" t="s">
        <v>93</v>
      </c>
      <c r="C23" s="38" t="s">
        <v>102</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c r="A24" s="33">
        <v>23</v>
      </c>
      <c r="B24" s="36" t="s">
        <v>93</v>
      </c>
      <c r="C24" s="38" t="s">
        <v>104</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c r="A25" s="33">
        <v>24</v>
      </c>
      <c r="B25" s="36" t="s">
        <v>93</v>
      </c>
      <c r="C25" s="38" t="s">
        <v>106</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c r="A26" s="33">
        <v>25</v>
      </c>
      <c r="B26" s="36" t="s">
        <v>93</v>
      </c>
      <c r="C26" s="38" t="s">
        <v>107</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c r="A27" s="33">
        <v>26</v>
      </c>
      <c r="B27" s="36" t="s">
        <v>93</v>
      </c>
      <c r="C27" s="38" t="s">
        <v>108</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c r="A28" s="33">
        <v>27</v>
      </c>
      <c r="B28" s="36" t="s">
        <v>93</v>
      </c>
      <c r="C28" s="38" t="s">
        <v>109</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c r="A29" s="33">
        <v>28</v>
      </c>
      <c r="B29" s="36" t="s">
        <v>93</v>
      </c>
      <c r="C29" s="38" t="s">
        <v>110</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c r="A30" s="33">
        <v>29</v>
      </c>
      <c r="B30" s="36" t="s">
        <v>93</v>
      </c>
      <c r="C30" s="38" t="s">
        <v>111</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c r="A31" s="33">
        <v>30</v>
      </c>
      <c r="B31" s="36" t="s">
        <v>93</v>
      </c>
      <c r="C31" s="38" t="s">
        <v>92</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c r="A32" s="126" t="s">
        <v>112</v>
      </c>
      <c r="B32" s="120"/>
      <c r="C32" s="121"/>
      <c r="D32" s="23"/>
      <c r="E32" s="3"/>
      <c r="F32" s="3"/>
      <c r="G32" s="3"/>
      <c r="H32" s="3"/>
      <c r="I32" s="3"/>
      <c r="J32" s="3"/>
      <c r="K32" s="3"/>
      <c r="L32" s="3"/>
      <c r="M32" s="3"/>
      <c r="N32" s="3"/>
      <c r="O32" s="3"/>
      <c r="P32" s="3"/>
      <c r="Q32" s="3"/>
      <c r="R32" s="3"/>
      <c r="S32" s="3"/>
      <c r="T32" s="3"/>
      <c r="U32" s="3"/>
      <c r="V32" s="3"/>
      <c r="W32" s="3"/>
      <c r="X32" s="3"/>
      <c r="Y32" s="3"/>
      <c r="Z32" s="3"/>
    </row>
    <row r="33" spans="1:26" ht="17.25" customHeight="1">
      <c r="A33" s="33">
        <v>33</v>
      </c>
      <c r="B33" s="36" t="s">
        <v>112</v>
      </c>
      <c r="C33" s="38" t="s">
        <v>113</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c r="A34" s="33">
        <v>34</v>
      </c>
      <c r="B34" s="36" t="s">
        <v>112</v>
      </c>
      <c r="C34" s="38" t="s">
        <v>114</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c r="A35" s="33">
        <v>35</v>
      </c>
      <c r="B35" s="36" t="s">
        <v>112</v>
      </c>
      <c r="C35" s="38" t="s">
        <v>115</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c r="A36" s="33">
        <v>36</v>
      </c>
      <c r="B36" s="36" t="s">
        <v>112</v>
      </c>
      <c r="C36" s="38" t="s">
        <v>116</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c r="A37" s="33">
        <v>37</v>
      </c>
      <c r="B37" s="36" t="s">
        <v>112</v>
      </c>
      <c r="C37" s="38" t="s">
        <v>117</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c r="A38" s="33">
        <v>38</v>
      </c>
      <c r="B38" s="36" t="s">
        <v>112</v>
      </c>
      <c r="C38" s="38" t="s">
        <v>118</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c r="A39" s="33">
        <v>39</v>
      </c>
      <c r="B39" s="36" t="s">
        <v>112</v>
      </c>
      <c r="C39" s="38" t="s">
        <v>119</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c r="A40" s="33">
        <v>40</v>
      </c>
      <c r="B40" s="36" t="s">
        <v>112</v>
      </c>
      <c r="C40" s="38" t="s">
        <v>92</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c r="A41" s="127"/>
      <c r="B41" s="120"/>
      <c r="C41" s="121"/>
      <c r="D41" s="23"/>
      <c r="E41" s="3"/>
      <c r="F41" s="3"/>
      <c r="G41" s="3"/>
      <c r="H41" s="3"/>
      <c r="I41" s="3"/>
      <c r="J41" s="3"/>
      <c r="K41" s="3"/>
      <c r="L41" s="3"/>
      <c r="M41" s="3"/>
      <c r="N41" s="3"/>
      <c r="O41" s="3"/>
      <c r="P41" s="3"/>
      <c r="Q41" s="3"/>
      <c r="R41" s="3"/>
      <c r="S41" s="3"/>
      <c r="T41" s="3"/>
      <c r="U41" s="3"/>
      <c r="V41" s="3"/>
      <c r="W41" s="3"/>
      <c r="X41" s="3"/>
      <c r="Y41" s="3"/>
      <c r="Z41" s="3"/>
    </row>
    <row r="42" spans="1:26" ht="17.25" customHeight="1">
      <c r="A42" s="128" t="s">
        <v>315</v>
      </c>
      <c r="B42" s="129"/>
      <c r="C42" s="129"/>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c r="A44" s="59" t="s">
        <v>316</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c r="A45" s="59" t="s">
        <v>317</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c r="A46" s="59" t="s">
        <v>330</v>
      </c>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F1:L1"/>
    <mergeCell ref="A2:D2"/>
    <mergeCell ref="F2:L2"/>
    <mergeCell ref="H3:L3"/>
    <mergeCell ref="A4:C4"/>
    <mergeCell ref="A18:C18"/>
    <mergeCell ref="A32:C32"/>
    <mergeCell ref="A41:C41"/>
    <mergeCell ref="A42:C42"/>
    <mergeCell ref="A1:D1"/>
    <mergeCell ref="A10:C10"/>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59765625" defaultRowHeight="15" customHeight="1"/>
  <cols>
    <col min="1" max="1" width="48.19921875" customWidth="1"/>
    <col min="2" max="2" width="15.5" customWidth="1"/>
    <col min="3" max="3" width="20.69921875" customWidth="1"/>
    <col min="4" max="6" width="8.09765625" customWidth="1"/>
    <col min="7" max="26" width="8.59765625" customWidth="1"/>
  </cols>
  <sheetData>
    <row r="1" spans="1:26" ht="15.75" customHeight="1">
      <c r="A1" s="138" t="s">
        <v>1</v>
      </c>
      <c r="B1" s="120"/>
      <c r="C1" s="121"/>
      <c r="D1" s="1"/>
      <c r="E1" s="1"/>
      <c r="F1" s="1"/>
      <c r="G1" s="1"/>
      <c r="H1" s="1"/>
      <c r="I1" s="1"/>
      <c r="J1" s="1"/>
      <c r="K1" s="1"/>
      <c r="L1" s="1"/>
      <c r="M1" s="1"/>
      <c r="N1" s="1"/>
      <c r="O1" s="1"/>
      <c r="P1" s="1"/>
      <c r="Q1" s="1"/>
      <c r="R1" s="1"/>
      <c r="S1" s="1"/>
      <c r="T1" s="1"/>
      <c r="U1" s="1"/>
      <c r="V1" s="1"/>
      <c r="W1" s="1"/>
      <c r="X1" s="1"/>
      <c r="Y1" s="1"/>
      <c r="Z1" s="1"/>
    </row>
    <row r="2" spans="1:26" ht="7.5" customHeight="1">
      <c r="A2" s="1"/>
      <c r="B2" s="2"/>
      <c r="C2" s="1"/>
      <c r="D2" s="1"/>
      <c r="E2" s="1"/>
      <c r="F2" s="1"/>
      <c r="G2" s="1"/>
      <c r="H2" s="1"/>
      <c r="I2" s="1"/>
      <c r="J2" s="1"/>
      <c r="K2" s="1"/>
      <c r="L2" s="1"/>
      <c r="M2" s="1"/>
      <c r="N2" s="1"/>
      <c r="O2" s="1"/>
      <c r="P2" s="1"/>
      <c r="Q2" s="1"/>
      <c r="R2" s="1"/>
      <c r="S2" s="1"/>
      <c r="T2" s="1"/>
      <c r="U2" s="1"/>
      <c r="V2" s="1"/>
      <c r="W2" s="1"/>
      <c r="X2" s="1"/>
      <c r="Y2" s="1"/>
      <c r="Z2" s="1"/>
    </row>
    <row r="3" spans="1:26" ht="15.75" customHeight="1">
      <c r="A3" s="139" t="s">
        <v>5</v>
      </c>
      <c r="B3" s="117"/>
      <c r="C3" s="118"/>
      <c r="D3" s="1"/>
      <c r="E3" s="1"/>
      <c r="F3" s="1"/>
      <c r="G3" s="1"/>
      <c r="H3" s="1"/>
      <c r="I3" s="1"/>
      <c r="J3" s="1"/>
      <c r="K3" s="1"/>
      <c r="L3" s="1"/>
      <c r="M3" s="1"/>
      <c r="N3" s="1"/>
      <c r="O3" s="1"/>
      <c r="P3" s="1"/>
      <c r="Q3" s="1"/>
      <c r="R3" s="1"/>
      <c r="S3" s="1"/>
      <c r="T3" s="1"/>
      <c r="U3" s="1"/>
      <c r="V3" s="1"/>
      <c r="W3" s="1"/>
      <c r="X3" s="1"/>
      <c r="Y3" s="1"/>
      <c r="Z3" s="1"/>
    </row>
    <row r="4" spans="1:26" ht="15.75" customHeight="1">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c r="A9" s="25" t="s">
        <v>337</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c r="A11" s="15" t="s">
        <v>62</v>
      </c>
      <c r="B11" s="21">
        <f>B10/B8*2</f>
        <v>12.264000000000005</v>
      </c>
      <c r="C11" s="15" t="s">
        <v>63</v>
      </c>
      <c r="D11" s="1"/>
      <c r="E11" s="1"/>
      <c r="F11" s="1"/>
      <c r="G11" s="1"/>
      <c r="H11" s="1"/>
      <c r="I11" s="1"/>
      <c r="J11" s="1"/>
      <c r="K11" s="1"/>
      <c r="L11" s="1"/>
      <c r="M11" s="1"/>
      <c r="N11" s="1"/>
      <c r="O11" s="1"/>
      <c r="P11" s="1"/>
      <c r="Q11" s="1"/>
      <c r="R11" s="1"/>
      <c r="S11" s="1"/>
      <c r="T11" s="1"/>
      <c r="U11" s="1"/>
      <c r="V11" s="1"/>
      <c r="W11" s="1"/>
      <c r="X11" s="1"/>
      <c r="Y11" s="1"/>
      <c r="Z11" s="1"/>
    </row>
    <row r="12" spans="1:26" ht="15.75" customHeight="1">
      <c r="A12" s="5" t="s">
        <v>64</v>
      </c>
      <c r="B12" s="41">
        <f>B11/4</f>
        <v>3.0660000000000012</v>
      </c>
      <c r="C12" s="5" t="s">
        <v>66</v>
      </c>
      <c r="D12" s="1"/>
      <c r="E12" s="1"/>
      <c r="F12" s="1"/>
      <c r="G12" s="1"/>
      <c r="H12" s="1"/>
      <c r="I12" s="1"/>
      <c r="J12" s="1"/>
      <c r="K12" s="1"/>
      <c r="L12" s="1"/>
      <c r="M12" s="1"/>
      <c r="N12" s="1"/>
      <c r="O12" s="1"/>
      <c r="P12" s="1"/>
      <c r="Q12" s="1"/>
      <c r="R12" s="1"/>
      <c r="S12" s="1"/>
      <c r="T12" s="1"/>
      <c r="U12" s="1"/>
      <c r="V12" s="1"/>
      <c r="W12" s="1"/>
      <c r="X12" s="1"/>
      <c r="Y12" s="1"/>
      <c r="Z12" s="1"/>
    </row>
    <row r="13" spans="1:26" ht="15" customHeight="1">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c r="A14" s="139" t="s">
        <v>67</v>
      </c>
      <c r="B14" s="117"/>
      <c r="C14" s="118"/>
      <c r="D14" s="1"/>
      <c r="E14" s="1"/>
      <c r="F14" s="1"/>
      <c r="G14" s="1"/>
      <c r="H14" s="1"/>
      <c r="I14" s="1"/>
      <c r="J14" s="1"/>
      <c r="K14" s="1"/>
      <c r="L14" s="1"/>
      <c r="M14" s="1"/>
      <c r="N14" s="1"/>
      <c r="O14" s="1"/>
      <c r="P14" s="1"/>
      <c r="Q14" s="1"/>
      <c r="R14" s="1"/>
      <c r="S14" s="1"/>
      <c r="T14" s="1"/>
      <c r="U14" s="1"/>
      <c r="V14" s="1"/>
      <c r="W14" s="1"/>
      <c r="X14" s="1"/>
      <c r="Y14" s="1"/>
      <c r="Z14" s="1"/>
    </row>
    <row r="15" spans="1:26" ht="15" customHeight="1">
      <c r="A15" s="15" t="s">
        <v>68</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c r="A16" s="15" t="s">
        <v>72</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c r="A17" s="15" t="s">
        <v>77</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c r="A18" s="15" t="s">
        <v>78</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c r="A19" s="49" t="s">
        <v>80</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c r="A20" s="15" t="s">
        <v>89</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c r="A21" s="15" t="s">
        <v>90</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c r="A22" s="49" t="s">
        <v>95</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59" t="s">
        <v>99</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59" t="s">
        <v>101</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59" t="s">
        <v>103</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59" t="s">
        <v>105</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F7" sqref="F7"/>
    </sheetView>
  </sheetViews>
  <sheetFormatPr defaultColWidth="12.59765625" defaultRowHeight="15" customHeight="1"/>
  <cols>
    <col min="1" max="1" width="6.09765625" customWidth="1"/>
    <col min="2" max="2" width="45.19921875" customWidth="1"/>
    <col min="3" max="3" width="13.8984375" customWidth="1"/>
    <col min="4" max="6" width="13.09765625" customWidth="1"/>
    <col min="7" max="10" width="13" customWidth="1"/>
    <col min="11" max="11" width="14.69921875" customWidth="1"/>
    <col min="12" max="26" width="8.59765625" customWidth="1"/>
  </cols>
  <sheetData>
    <row r="1" spans="1:26" ht="23.25" customHeight="1">
      <c r="A1" s="116" t="s">
        <v>2</v>
      </c>
      <c r="B1" s="117"/>
      <c r="C1" s="117"/>
      <c r="D1" s="117"/>
      <c r="E1" s="117"/>
      <c r="F1" s="117"/>
      <c r="G1" s="117"/>
      <c r="H1" s="117"/>
      <c r="I1" s="117"/>
      <c r="J1" s="117"/>
      <c r="K1" s="118"/>
      <c r="L1" s="3"/>
      <c r="M1" s="3"/>
      <c r="N1" s="3"/>
      <c r="O1" s="3"/>
      <c r="P1" s="3"/>
      <c r="Q1" s="3"/>
      <c r="R1" s="3"/>
      <c r="S1" s="3"/>
      <c r="T1" s="3"/>
      <c r="U1" s="3"/>
      <c r="V1" s="3"/>
      <c r="W1" s="3"/>
      <c r="X1" s="3"/>
      <c r="Y1" s="3"/>
      <c r="Z1" s="3"/>
    </row>
    <row r="2" spans="1:26" ht="15.75" customHeight="1">
      <c r="A2" s="119" t="s">
        <v>6</v>
      </c>
      <c r="B2" s="120"/>
      <c r="C2" s="120"/>
      <c r="D2" s="121"/>
      <c r="E2" s="6">
        <f>Planejamento!$B$10</f>
        <v>392.44800000000015</v>
      </c>
      <c r="F2" s="8"/>
      <c r="G2" s="119" t="s">
        <v>6</v>
      </c>
      <c r="H2" s="120"/>
      <c r="I2" s="120"/>
      <c r="J2" s="121"/>
      <c r="K2" s="6"/>
      <c r="L2" s="3"/>
      <c r="M2" s="3"/>
      <c r="N2" s="3"/>
      <c r="O2" s="3"/>
      <c r="P2" s="3"/>
      <c r="Q2" s="3"/>
      <c r="R2" s="3"/>
      <c r="S2" s="3"/>
      <c r="T2" s="3"/>
      <c r="U2" s="3"/>
      <c r="V2" s="3"/>
      <c r="W2" s="3"/>
      <c r="X2" s="3"/>
      <c r="Y2" s="3"/>
      <c r="Z2" s="3"/>
    </row>
    <row r="3" spans="1:26" ht="14.25" customHeight="1">
      <c r="A3" s="10"/>
      <c r="B3" s="12"/>
      <c r="C3" s="122" t="s">
        <v>28</v>
      </c>
      <c r="D3" s="120"/>
      <c r="E3" s="121"/>
      <c r="F3" s="16"/>
      <c r="G3" s="123" t="s">
        <v>35</v>
      </c>
      <c r="H3" s="120"/>
      <c r="I3" s="121"/>
      <c r="J3" s="19"/>
      <c r="K3" s="20"/>
      <c r="L3" s="3"/>
      <c r="M3" s="3"/>
      <c r="N3" s="3"/>
      <c r="O3" s="3"/>
      <c r="P3" s="3"/>
      <c r="Q3" s="3"/>
      <c r="R3" s="3"/>
      <c r="S3" s="3"/>
      <c r="T3" s="3"/>
      <c r="U3" s="3"/>
      <c r="V3" s="3"/>
      <c r="W3" s="3"/>
      <c r="X3" s="3"/>
      <c r="Y3" s="3"/>
      <c r="Z3" s="3"/>
    </row>
    <row r="4" spans="1:26" ht="14.25" customHeight="1">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c r="A5" s="27">
        <v>1</v>
      </c>
      <c r="B5" s="28" t="s">
        <v>54</v>
      </c>
      <c r="C5" s="29">
        <v>46251</v>
      </c>
      <c r="D5" s="29">
        <v>46262</v>
      </c>
      <c r="E5" s="32">
        <v>56</v>
      </c>
      <c r="F5" s="34" t="s">
        <v>338</v>
      </c>
      <c r="G5" s="37">
        <v>46251</v>
      </c>
      <c r="H5" s="37">
        <v>46262</v>
      </c>
      <c r="I5" s="32">
        <v>19.2</v>
      </c>
      <c r="J5" s="40">
        <f t="shared" ref="J5:J12" si="0">E5-I5</f>
        <v>36.799999999999997</v>
      </c>
      <c r="K5" s="44" t="s">
        <v>65</v>
      </c>
      <c r="L5" s="3"/>
      <c r="M5" s="3"/>
      <c r="N5" s="3"/>
      <c r="O5" s="3"/>
      <c r="P5" s="3"/>
      <c r="Q5" s="3"/>
      <c r="R5" s="3"/>
      <c r="S5" s="3"/>
      <c r="T5" s="3"/>
      <c r="U5" s="3"/>
      <c r="V5" s="3"/>
      <c r="W5" s="3"/>
      <c r="X5" s="3"/>
      <c r="Y5" s="3"/>
      <c r="Z5" s="3"/>
    </row>
    <row r="6" spans="1:26" ht="30" customHeight="1">
      <c r="A6" s="27">
        <v>2</v>
      </c>
      <c r="B6" s="28" t="s">
        <v>69</v>
      </c>
      <c r="C6" s="29">
        <v>46265</v>
      </c>
      <c r="D6" s="29">
        <v>46276</v>
      </c>
      <c r="E6" s="32">
        <v>56</v>
      </c>
      <c r="F6" s="34" t="s">
        <v>338</v>
      </c>
      <c r="G6" s="37">
        <v>46263</v>
      </c>
      <c r="H6" s="37">
        <v>46276</v>
      </c>
      <c r="I6" s="32"/>
      <c r="J6" s="40">
        <f t="shared" si="0"/>
        <v>56</v>
      </c>
      <c r="K6" s="44"/>
      <c r="L6" s="3"/>
      <c r="M6" s="3"/>
      <c r="N6" s="3"/>
      <c r="O6" s="3"/>
      <c r="P6" s="3"/>
      <c r="Q6" s="3"/>
      <c r="R6" s="3"/>
      <c r="S6" s="3"/>
      <c r="T6" s="3"/>
      <c r="U6" s="3"/>
      <c r="V6" s="3"/>
      <c r="W6" s="3"/>
      <c r="X6" s="3"/>
      <c r="Y6" s="3"/>
      <c r="Z6" s="3"/>
    </row>
    <row r="7" spans="1:26" ht="30" customHeight="1">
      <c r="A7" s="27">
        <v>3</v>
      </c>
      <c r="B7" s="28" t="s">
        <v>71</v>
      </c>
      <c r="C7" s="29">
        <v>46279</v>
      </c>
      <c r="D7" s="29">
        <v>46290</v>
      </c>
      <c r="E7" s="32">
        <v>64</v>
      </c>
      <c r="F7" s="34" t="s">
        <v>60</v>
      </c>
      <c r="G7" s="37">
        <v>46277</v>
      </c>
      <c r="H7" s="37"/>
      <c r="I7" s="32"/>
      <c r="J7" s="40">
        <f t="shared" si="0"/>
        <v>64</v>
      </c>
      <c r="K7" s="44"/>
      <c r="L7" s="3"/>
      <c r="M7" s="3"/>
      <c r="N7" s="3"/>
      <c r="O7" s="3"/>
      <c r="P7" s="3"/>
      <c r="Q7" s="3"/>
      <c r="R7" s="3"/>
      <c r="S7" s="3"/>
      <c r="T7" s="3"/>
      <c r="U7" s="3"/>
      <c r="V7" s="3"/>
      <c r="W7" s="3"/>
      <c r="X7" s="3"/>
      <c r="Y7" s="3"/>
      <c r="Z7" s="3"/>
    </row>
    <row r="8" spans="1:26" ht="42.75" customHeight="1">
      <c r="A8" s="27">
        <v>4</v>
      </c>
      <c r="B8" s="28" t="s">
        <v>73</v>
      </c>
      <c r="C8" s="29">
        <v>46293</v>
      </c>
      <c r="D8" s="29">
        <v>46304</v>
      </c>
      <c r="E8" s="32">
        <v>64</v>
      </c>
      <c r="F8" s="34" t="s">
        <v>70</v>
      </c>
      <c r="G8" s="37"/>
      <c r="H8" s="37"/>
      <c r="I8" s="32"/>
      <c r="J8" s="40">
        <f t="shared" si="0"/>
        <v>64</v>
      </c>
      <c r="K8" s="44" t="s">
        <v>74</v>
      </c>
      <c r="L8" s="3"/>
      <c r="M8" s="3"/>
      <c r="N8" s="3"/>
      <c r="O8" s="3"/>
      <c r="P8" s="3"/>
      <c r="Q8" s="3"/>
      <c r="R8" s="3"/>
      <c r="S8" s="3"/>
      <c r="T8" s="3"/>
      <c r="U8" s="3"/>
      <c r="V8" s="3"/>
      <c r="W8" s="3"/>
      <c r="X8" s="3"/>
      <c r="Y8" s="3"/>
      <c r="Z8" s="3"/>
    </row>
    <row r="9" spans="1:26" ht="30" customHeight="1">
      <c r="A9" s="27">
        <v>5</v>
      </c>
      <c r="B9" s="28" t="s">
        <v>75</v>
      </c>
      <c r="C9" s="29">
        <v>46307</v>
      </c>
      <c r="D9" s="29">
        <v>46318</v>
      </c>
      <c r="E9" s="32">
        <v>64</v>
      </c>
      <c r="F9" s="34" t="s">
        <v>70</v>
      </c>
      <c r="G9" s="37"/>
      <c r="H9" s="37"/>
      <c r="I9" s="32"/>
      <c r="J9" s="40">
        <f t="shared" si="0"/>
        <v>64</v>
      </c>
      <c r="K9" s="44"/>
      <c r="L9" s="3"/>
      <c r="M9" s="3"/>
      <c r="N9" s="3"/>
      <c r="O9" s="3"/>
      <c r="P9" s="3"/>
      <c r="Q9" s="3"/>
      <c r="R9" s="3"/>
      <c r="S9" s="3"/>
      <c r="T9" s="3"/>
      <c r="U9" s="3"/>
      <c r="V9" s="3"/>
      <c r="W9" s="3"/>
      <c r="X9" s="3"/>
      <c r="Y9" s="3"/>
      <c r="Z9" s="3"/>
    </row>
    <row r="10" spans="1:26" ht="30" customHeight="1">
      <c r="A10" s="27">
        <v>6</v>
      </c>
      <c r="B10" s="28" t="s">
        <v>331</v>
      </c>
      <c r="C10" s="29">
        <v>46321</v>
      </c>
      <c r="D10" s="29">
        <v>46332</v>
      </c>
      <c r="E10" s="32">
        <v>64</v>
      </c>
      <c r="F10" s="34" t="s">
        <v>70</v>
      </c>
      <c r="G10" s="37"/>
      <c r="H10" s="37"/>
      <c r="I10" s="32"/>
      <c r="J10" s="40">
        <f t="shared" si="0"/>
        <v>64</v>
      </c>
      <c r="K10" s="44"/>
      <c r="L10" s="3"/>
      <c r="M10" s="3"/>
      <c r="N10" s="3"/>
      <c r="O10" s="3"/>
      <c r="P10" s="3"/>
      <c r="Q10" s="3"/>
      <c r="R10" s="3"/>
      <c r="S10" s="3"/>
      <c r="T10" s="3"/>
      <c r="U10" s="3"/>
      <c r="V10" s="3"/>
      <c r="W10" s="3"/>
      <c r="X10" s="3"/>
      <c r="Y10" s="3"/>
      <c r="Z10" s="3"/>
    </row>
    <row r="11" spans="1:26" ht="30" customHeight="1">
      <c r="A11" s="27">
        <v>7</v>
      </c>
      <c r="B11" s="28" t="s">
        <v>332</v>
      </c>
      <c r="C11" s="29">
        <v>46335</v>
      </c>
      <c r="D11" s="29">
        <v>46346</v>
      </c>
      <c r="E11" s="32">
        <v>64</v>
      </c>
      <c r="F11" s="34" t="s">
        <v>70</v>
      </c>
      <c r="G11" s="37"/>
      <c r="H11" s="37"/>
      <c r="I11" s="32"/>
      <c r="J11" s="40">
        <f t="shared" si="0"/>
        <v>64</v>
      </c>
      <c r="K11" s="44" t="s">
        <v>79</v>
      </c>
      <c r="L11" s="3"/>
      <c r="M11" s="3"/>
      <c r="N11" s="3"/>
      <c r="O11" s="3"/>
      <c r="P11" s="3"/>
      <c r="Q11" s="3"/>
      <c r="R11" s="3"/>
      <c r="S11" s="3"/>
      <c r="T11" s="3"/>
      <c r="U11" s="3"/>
      <c r="V11" s="3"/>
      <c r="W11" s="3"/>
      <c r="X11" s="3"/>
      <c r="Y11" s="3"/>
      <c r="Z11" s="3"/>
    </row>
    <row r="12" spans="1:26" ht="41.4">
      <c r="A12" s="27">
        <v>8</v>
      </c>
      <c r="B12" s="28" t="s">
        <v>333</v>
      </c>
      <c r="C12" s="29">
        <v>46349</v>
      </c>
      <c r="D12" s="29">
        <v>46360</v>
      </c>
      <c r="E12" s="32">
        <v>64</v>
      </c>
      <c r="F12" s="34" t="s">
        <v>70</v>
      </c>
      <c r="G12" s="37"/>
      <c r="H12" s="37"/>
      <c r="I12" s="32"/>
      <c r="J12" s="40">
        <f t="shared" si="0"/>
        <v>64</v>
      </c>
      <c r="K12" s="44" t="s">
        <v>82</v>
      </c>
      <c r="L12" s="3"/>
      <c r="M12" s="3"/>
      <c r="N12" s="3"/>
      <c r="O12" s="3"/>
      <c r="P12" s="3"/>
      <c r="Q12" s="3"/>
      <c r="R12" s="3"/>
      <c r="S12" s="3"/>
      <c r="T12" s="3"/>
      <c r="U12" s="3"/>
      <c r="V12" s="3"/>
      <c r="W12" s="3"/>
      <c r="X12" s="3"/>
      <c r="Y12" s="3"/>
      <c r="Z12" s="3"/>
    </row>
    <row r="13" spans="1:26" ht="30" customHeight="1">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c r="A17" s="59" t="s">
        <v>91</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c r="A18" s="59" t="s">
        <v>334</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c r="A19" s="59" t="s">
        <v>335</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c r="A21" s="59" t="s">
        <v>98</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c r="A23" s="60"/>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c r="A24" s="60"/>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c r="A26" s="60"/>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c r="A27" s="60"/>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c r="A29" s="60"/>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c r="A30" s="60"/>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9" priority="4" stopIfTrue="1">
      <formula>OR($F5="Planned",$F5="Unplanned")</formula>
    </cfRule>
    <cfRule type="expression" dxfId="8" priority="5" stopIfTrue="1">
      <formula>$F5="Ongoing"</formula>
    </cfRule>
  </conditionalFormatting>
  <conditionalFormatting sqref="F5:F14">
    <cfRule type="expression" dxfId="7" priority="1" stopIfTrue="1">
      <formula>$F5="Planned"</formula>
    </cfRule>
    <cfRule type="expression" dxfId="6" priority="2" stopIfTrue="1">
      <formula>$F5="Ongoing"</formula>
    </cfRule>
    <cfRule type="cellIs" dxfId="5" priority="3" stopIfTrue="1" operator="equal">
      <formula>"Unplanned"</formula>
    </cfRule>
  </conditionalFormatting>
  <conditionalFormatting sqref="G5:H14">
    <cfRule type="expression" dxfId="4" priority="6" stopIfTrue="1">
      <formula>OR($F5="Planned",$F5="Unplanned")</formula>
    </cfRule>
    <cfRule type="expression" dxfId="3"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opLeftCell="A42" workbookViewId="0">
      <selection sqref="A1:K1"/>
    </sheetView>
  </sheetViews>
  <sheetFormatPr defaultColWidth="12.59765625" defaultRowHeight="15" customHeight="1"/>
  <cols>
    <col min="1" max="1" width="5.59765625" customWidth="1"/>
    <col min="2" max="2" width="35.59765625" customWidth="1"/>
    <col min="3" max="3" width="6.5" customWidth="1"/>
    <col min="4" max="4" width="13.19921875" customWidth="1"/>
    <col min="5" max="5" width="8.8984375" customWidth="1"/>
    <col min="6" max="6" width="12.5" customWidth="1"/>
    <col min="7" max="7" width="9.09765625" customWidth="1"/>
    <col min="8" max="9" width="12.19921875" customWidth="1"/>
    <col min="10" max="10" width="24.19921875" customWidth="1"/>
    <col min="11" max="11" width="27.8984375" customWidth="1"/>
    <col min="12" max="26" width="8.59765625" customWidth="1"/>
  </cols>
  <sheetData>
    <row r="1" spans="1:26" ht="21" customHeight="1">
      <c r="A1" s="116" t="s">
        <v>120</v>
      </c>
      <c r="B1" s="117"/>
      <c r="C1" s="117"/>
      <c r="D1" s="117"/>
      <c r="E1" s="117"/>
      <c r="F1" s="117"/>
      <c r="G1" s="117"/>
      <c r="H1" s="117"/>
      <c r="I1" s="117"/>
      <c r="J1" s="117"/>
      <c r="K1" s="118"/>
      <c r="L1" s="62"/>
      <c r="M1" s="62"/>
      <c r="N1" s="62"/>
      <c r="O1" s="62"/>
      <c r="P1" s="62"/>
      <c r="Q1" s="62"/>
      <c r="R1" s="62"/>
      <c r="S1" s="62"/>
      <c r="T1" s="62"/>
      <c r="U1" s="62"/>
      <c r="V1" s="62"/>
      <c r="W1" s="62"/>
      <c r="X1" s="62"/>
      <c r="Y1" s="62"/>
      <c r="Z1" s="62"/>
    </row>
    <row r="2" spans="1:26" ht="14.25" hidden="1" customHeight="1">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c r="A3" s="63"/>
      <c r="B3" s="63"/>
      <c r="C3" s="63"/>
      <c r="D3" s="64" t="s">
        <v>121</v>
      </c>
      <c r="E3" s="63"/>
      <c r="F3" s="63"/>
      <c r="G3" s="63"/>
      <c r="H3" s="63"/>
      <c r="I3" s="63"/>
      <c r="J3" s="63"/>
      <c r="K3" s="63"/>
      <c r="L3" s="63"/>
      <c r="M3" s="63"/>
      <c r="N3" s="63"/>
      <c r="O3" s="63"/>
      <c r="P3" s="63"/>
      <c r="Q3" s="63"/>
      <c r="R3" s="63"/>
      <c r="S3" s="63"/>
      <c r="T3" s="63"/>
      <c r="U3" s="63"/>
      <c r="V3" s="63"/>
      <c r="W3" s="63"/>
      <c r="X3" s="63"/>
      <c r="Y3" s="63"/>
      <c r="Z3" s="63"/>
    </row>
    <row r="4" spans="1:26" ht="22.5" hidden="1" customHeight="1">
      <c r="A4" s="63"/>
      <c r="B4" s="63"/>
      <c r="C4" s="63"/>
      <c r="D4" s="65" t="s">
        <v>122</v>
      </c>
      <c r="E4" s="63"/>
      <c r="F4" s="63"/>
      <c r="G4" s="63"/>
      <c r="H4" s="63"/>
      <c r="I4" s="63"/>
      <c r="J4" s="63"/>
      <c r="K4" s="63"/>
      <c r="L4" s="63"/>
      <c r="M4" s="63"/>
      <c r="N4" s="63"/>
      <c r="O4" s="63"/>
      <c r="P4" s="63"/>
      <c r="Q4" s="63"/>
      <c r="R4" s="63"/>
      <c r="S4" s="63"/>
      <c r="T4" s="63"/>
      <c r="U4" s="63"/>
      <c r="V4" s="63"/>
      <c r="W4" s="63"/>
      <c r="X4" s="63"/>
      <c r="Y4" s="63"/>
      <c r="Z4" s="63"/>
    </row>
    <row r="5" spans="1:26" ht="14.25" hidden="1" customHeight="1">
      <c r="A5" s="63"/>
      <c r="B5" s="63"/>
      <c r="C5" s="63"/>
      <c r="D5" s="65" t="s">
        <v>123</v>
      </c>
      <c r="E5" s="63"/>
      <c r="F5" s="63"/>
      <c r="G5" s="63"/>
      <c r="H5" s="63"/>
      <c r="I5" s="63"/>
      <c r="J5" s="63"/>
      <c r="K5" s="63"/>
      <c r="L5" s="63"/>
      <c r="M5" s="63"/>
      <c r="N5" s="63"/>
      <c r="O5" s="63"/>
      <c r="P5" s="63"/>
      <c r="Q5" s="63"/>
      <c r="R5" s="63"/>
      <c r="S5" s="63"/>
      <c r="T5" s="63"/>
      <c r="U5" s="63"/>
      <c r="V5" s="63"/>
      <c r="W5" s="63"/>
      <c r="X5" s="63"/>
      <c r="Y5" s="63"/>
      <c r="Z5" s="63"/>
    </row>
    <row r="6" spans="1:26" ht="14.25" hidden="1" customHeight="1">
      <c r="A6" s="63"/>
      <c r="B6" s="63"/>
      <c r="C6" s="63"/>
      <c r="D6" s="65" t="s">
        <v>124</v>
      </c>
      <c r="E6" s="63"/>
      <c r="F6" s="63"/>
      <c r="G6" s="63"/>
      <c r="H6" s="63"/>
      <c r="I6" s="63"/>
      <c r="J6" s="63"/>
      <c r="K6" s="63"/>
      <c r="L6" s="63"/>
      <c r="M6" s="63"/>
      <c r="N6" s="63"/>
      <c r="O6" s="63"/>
      <c r="P6" s="63"/>
      <c r="Q6" s="63"/>
      <c r="R6" s="63"/>
      <c r="S6" s="63"/>
      <c r="T6" s="63"/>
      <c r="U6" s="63"/>
      <c r="V6" s="63"/>
      <c r="W6" s="63"/>
      <c r="X6" s="63"/>
      <c r="Y6" s="63"/>
      <c r="Z6" s="63"/>
    </row>
    <row r="7" spans="1:26" ht="22.5" hidden="1" customHeight="1">
      <c r="A7" s="63"/>
      <c r="B7" s="63"/>
      <c r="C7" s="63"/>
      <c r="D7" s="65" t="s">
        <v>125</v>
      </c>
      <c r="E7" s="63"/>
      <c r="F7" s="63"/>
      <c r="G7" s="63"/>
      <c r="H7" s="63"/>
      <c r="I7" s="63"/>
      <c r="J7" s="63"/>
      <c r="K7" s="63"/>
      <c r="L7" s="63"/>
      <c r="M7" s="63"/>
      <c r="N7" s="63"/>
      <c r="O7" s="63"/>
      <c r="P7" s="63"/>
      <c r="Q7" s="63"/>
      <c r="R7" s="63"/>
      <c r="S7" s="63"/>
      <c r="T7" s="63"/>
      <c r="U7" s="63"/>
      <c r="V7" s="63"/>
      <c r="W7" s="63"/>
      <c r="X7" s="63"/>
      <c r="Y7" s="63"/>
      <c r="Z7" s="63"/>
    </row>
    <row r="8" spans="1:26" ht="14.25" hidden="1" customHeight="1">
      <c r="A8" s="63"/>
      <c r="B8" s="63"/>
      <c r="C8" s="63"/>
      <c r="D8" s="65" t="s">
        <v>126</v>
      </c>
      <c r="E8" s="63"/>
      <c r="F8" s="63"/>
      <c r="G8" s="63"/>
      <c r="H8" s="63"/>
      <c r="I8" s="63"/>
      <c r="J8" s="63"/>
      <c r="K8" s="63"/>
      <c r="L8" s="63"/>
      <c r="M8" s="63"/>
      <c r="N8" s="63"/>
      <c r="O8" s="63"/>
      <c r="P8" s="63"/>
      <c r="Q8" s="63"/>
      <c r="R8" s="63"/>
      <c r="S8" s="63"/>
      <c r="T8" s="63"/>
      <c r="U8" s="63"/>
      <c r="V8" s="63"/>
      <c r="W8" s="63"/>
      <c r="X8" s="63"/>
      <c r="Y8" s="63"/>
      <c r="Z8" s="63"/>
    </row>
    <row r="9" spans="1:26" ht="14.25" hidden="1" customHeight="1">
      <c r="A9" s="63"/>
      <c r="B9" s="63"/>
      <c r="C9" s="63"/>
      <c r="D9" s="65" t="s">
        <v>127</v>
      </c>
      <c r="E9" s="63"/>
      <c r="F9" s="63"/>
      <c r="G9" s="63"/>
      <c r="H9" s="63"/>
      <c r="I9" s="63"/>
      <c r="J9" s="63"/>
      <c r="K9" s="63"/>
      <c r="L9" s="63"/>
      <c r="M9" s="63"/>
      <c r="N9" s="63"/>
      <c r="O9" s="63"/>
      <c r="P9" s="63"/>
      <c r="Q9" s="63"/>
      <c r="R9" s="63"/>
      <c r="S9" s="63"/>
      <c r="T9" s="63"/>
      <c r="U9" s="63"/>
      <c r="V9" s="63"/>
      <c r="W9" s="63"/>
      <c r="X9" s="63"/>
      <c r="Y9" s="63"/>
      <c r="Z9" s="63"/>
    </row>
    <row r="10" spans="1:26" ht="14.25" hidden="1" customHeight="1">
      <c r="A10" s="63"/>
      <c r="B10" s="63"/>
      <c r="C10" s="63"/>
      <c r="D10" s="65" t="s">
        <v>128</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c r="A11" s="63"/>
      <c r="B11" s="63"/>
      <c r="C11" s="63"/>
      <c r="D11" s="65" t="s">
        <v>129</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c r="A12" s="63"/>
      <c r="B12" s="63"/>
      <c r="C12" s="63"/>
      <c r="D12" s="65" t="s">
        <v>130</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c r="A13" s="63"/>
      <c r="B13" s="63"/>
      <c r="C13" s="63"/>
      <c r="D13" s="65" t="s">
        <v>131</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c r="A14" s="63"/>
      <c r="B14" s="63"/>
      <c r="C14" s="63"/>
      <c r="D14" s="64" t="s">
        <v>132</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c r="A15" s="63"/>
      <c r="B15" s="63"/>
      <c r="C15" s="63"/>
      <c r="D15" s="65" t="s">
        <v>133</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c r="A16" s="63"/>
      <c r="B16" s="63"/>
      <c r="C16" s="63"/>
      <c r="D16" s="65" t="s">
        <v>134</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c r="A17" s="63"/>
      <c r="B17" s="63"/>
      <c r="C17" s="63"/>
      <c r="D17" s="65" t="s">
        <v>135</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c r="A18" s="63"/>
      <c r="B18" s="63"/>
      <c r="C18" s="63"/>
      <c r="D18" s="64" t="s">
        <v>136</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c r="A19" s="63"/>
      <c r="B19" s="63"/>
      <c r="C19" s="63"/>
      <c r="D19" s="65" t="s">
        <v>137</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c r="A20" s="63"/>
      <c r="B20" s="63"/>
      <c r="C20" s="63"/>
      <c r="D20" s="65" t="s">
        <v>138</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c r="A21" s="63"/>
      <c r="B21" s="63"/>
      <c r="C21" s="63"/>
      <c r="D21" s="65" t="s">
        <v>139</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c r="A22" s="63"/>
      <c r="B22" s="63"/>
      <c r="C22" s="63"/>
      <c r="D22" s="64" t="s">
        <v>140</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c r="A23" s="63"/>
      <c r="B23" s="63"/>
      <c r="C23" s="63"/>
      <c r="D23" s="65" t="s">
        <v>141</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c r="A24" s="63"/>
      <c r="B24" s="63"/>
      <c r="C24" s="63"/>
      <c r="D24" s="65" t="s">
        <v>142</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c r="A25" s="63"/>
      <c r="B25" s="63"/>
      <c r="C25" s="63"/>
      <c r="D25" s="65" t="s">
        <v>143</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c r="A26" s="63"/>
      <c r="B26" s="63"/>
      <c r="C26" s="63"/>
      <c r="D26" s="65" t="s">
        <v>144</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c r="A27" s="63"/>
      <c r="B27" s="63"/>
      <c r="C27" s="63"/>
      <c r="D27" s="64" t="s">
        <v>145</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c r="A28" s="63"/>
      <c r="B28" s="63"/>
      <c r="C28" s="63"/>
      <c r="D28" s="65" t="s">
        <v>146</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c r="A29" s="63"/>
      <c r="B29" s="63"/>
      <c r="C29" s="63"/>
      <c r="D29" s="65" t="s">
        <v>147</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c r="A30" s="63"/>
      <c r="B30" s="63"/>
      <c r="C30" s="63"/>
      <c r="D30" s="65" t="s">
        <v>148</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c r="A31" s="66"/>
      <c r="B31" s="66"/>
      <c r="C31" s="66"/>
      <c r="D31" s="67" t="s">
        <v>149</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c r="A32" s="63"/>
      <c r="B32" s="63"/>
      <c r="C32" s="63"/>
      <c r="D32" s="68" t="s">
        <v>150</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c r="A33" s="63"/>
      <c r="B33" s="63"/>
      <c r="C33" s="63"/>
      <c r="D33" s="140" t="s">
        <v>151</v>
      </c>
      <c r="E33" s="121"/>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c r="A34" s="63"/>
      <c r="B34" s="63"/>
      <c r="C34" s="63"/>
      <c r="D34" s="65">
        <v>4290</v>
      </c>
      <c r="E34" s="65" t="s">
        <v>152</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c r="A35" s="63"/>
      <c r="B35" s="63"/>
      <c r="C35" s="63"/>
      <c r="D35" s="65">
        <v>5082</v>
      </c>
      <c r="E35" s="65" t="s">
        <v>153</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c r="A36" s="63"/>
      <c r="B36" s="63"/>
      <c r="C36" s="63"/>
      <c r="D36" s="65">
        <v>4356</v>
      </c>
      <c r="E36" s="65" t="s">
        <v>154</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c r="A37" s="63"/>
      <c r="B37" s="63"/>
      <c r="C37" s="63"/>
      <c r="D37" s="65">
        <v>5929</v>
      </c>
      <c r="E37" s="65" t="s">
        <v>155</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c r="A38" s="63"/>
      <c r="B38" s="63"/>
      <c r="C38" s="63"/>
      <c r="D38" s="65">
        <v>5005</v>
      </c>
      <c r="E38" s="65" t="s">
        <v>156</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c r="A39" s="63"/>
      <c r="B39" s="63"/>
      <c r="C39" s="63"/>
      <c r="D39" s="65">
        <v>4225</v>
      </c>
      <c r="E39" s="65" t="s">
        <v>157</v>
      </c>
      <c r="F39" s="63"/>
      <c r="G39" s="63"/>
      <c r="H39" s="63"/>
      <c r="I39" s="63"/>
      <c r="J39" s="63"/>
      <c r="K39" s="63"/>
      <c r="L39" s="63"/>
      <c r="M39" s="63"/>
      <c r="N39" s="63"/>
      <c r="O39" s="63"/>
      <c r="P39" s="63"/>
      <c r="Q39" s="63"/>
      <c r="R39" s="63"/>
      <c r="S39" s="63"/>
      <c r="T39" s="63"/>
      <c r="U39" s="63"/>
      <c r="V39" s="63"/>
      <c r="W39" s="63"/>
      <c r="X39" s="63"/>
      <c r="Y39" s="63"/>
      <c r="Z39" s="63"/>
    </row>
    <row r="40" spans="1:26" ht="8.25" customHeight="1">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c r="A41" s="141" t="s">
        <v>158</v>
      </c>
      <c r="B41" s="120"/>
      <c r="C41" s="120"/>
      <c r="D41" s="120"/>
      <c r="E41" s="120"/>
      <c r="F41" s="120"/>
      <c r="G41" s="120"/>
      <c r="H41" s="120"/>
      <c r="I41" s="120"/>
      <c r="J41" s="120"/>
      <c r="K41" s="121"/>
      <c r="L41" s="62"/>
      <c r="M41" s="62"/>
      <c r="N41" s="62"/>
      <c r="O41" s="62"/>
      <c r="P41" s="62"/>
      <c r="Q41" s="62"/>
      <c r="R41" s="62"/>
      <c r="S41" s="62"/>
      <c r="T41" s="62"/>
      <c r="U41" s="62"/>
      <c r="V41" s="62"/>
      <c r="W41" s="62"/>
      <c r="X41" s="62"/>
      <c r="Y41" s="62"/>
      <c r="Z41" s="62"/>
    </row>
    <row r="42" spans="1:26" ht="12.75" customHeight="1">
      <c r="A42" s="142" t="s">
        <v>159</v>
      </c>
      <c r="B42" s="120"/>
      <c r="C42" s="120"/>
      <c r="D42" s="120"/>
      <c r="E42" s="120"/>
      <c r="F42" s="120"/>
      <c r="G42" s="120"/>
      <c r="H42" s="120"/>
      <c r="I42" s="120"/>
      <c r="J42" s="120"/>
      <c r="K42" s="121"/>
      <c r="L42" s="62"/>
      <c r="M42" s="62"/>
      <c r="N42" s="62"/>
      <c r="O42" s="62"/>
      <c r="P42" s="62"/>
      <c r="Q42" s="62"/>
      <c r="R42" s="62"/>
      <c r="S42" s="62"/>
      <c r="T42" s="62"/>
      <c r="U42" s="62"/>
      <c r="V42" s="62"/>
      <c r="W42" s="62"/>
      <c r="X42" s="62"/>
      <c r="Y42" s="62"/>
      <c r="Z42" s="62"/>
    </row>
    <row r="43" spans="1:26" ht="15" customHeight="1">
      <c r="A43" s="143" t="s">
        <v>160</v>
      </c>
      <c r="B43" s="120"/>
      <c r="C43" s="120"/>
      <c r="D43" s="120"/>
      <c r="E43" s="120"/>
      <c r="F43" s="120"/>
      <c r="G43" s="120"/>
      <c r="H43" s="120"/>
      <c r="I43" s="120"/>
      <c r="J43" s="120"/>
      <c r="K43" s="121"/>
      <c r="L43" s="62"/>
      <c r="M43" s="62"/>
      <c r="N43" s="62"/>
      <c r="O43" s="62"/>
      <c r="P43" s="62"/>
      <c r="Q43" s="62"/>
      <c r="R43" s="62"/>
      <c r="S43" s="62"/>
      <c r="T43" s="62"/>
      <c r="U43" s="62"/>
      <c r="V43" s="62"/>
      <c r="W43" s="62"/>
      <c r="X43" s="62"/>
      <c r="Y43" s="62"/>
      <c r="Z43" s="62"/>
    </row>
    <row r="44" spans="1:26" ht="15.75" customHeight="1">
      <c r="A44" s="146" t="s">
        <v>161</v>
      </c>
      <c r="B44" s="120"/>
      <c r="C44" s="120"/>
      <c r="D44" s="120"/>
      <c r="E44" s="120"/>
      <c r="F44" s="120"/>
      <c r="G44" s="120"/>
      <c r="H44" s="120"/>
      <c r="I44" s="120"/>
      <c r="J44" s="120"/>
      <c r="K44" s="121"/>
      <c r="L44" s="62"/>
      <c r="M44" s="62"/>
      <c r="N44" s="62"/>
      <c r="O44" s="62"/>
      <c r="P44" s="62"/>
      <c r="Q44" s="62"/>
      <c r="R44" s="62"/>
      <c r="S44" s="62"/>
      <c r="T44" s="62"/>
      <c r="U44" s="62"/>
      <c r="V44" s="62"/>
      <c r="W44" s="62"/>
      <c r="X44" s="62"/>
      <c r="Y44" s="62"/>
      <c r="Z44" s="62"/>
    </row>
    <row r="45" spans="1:26" ht="9" customHeight="1">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c r="A46" s="147" t="s">
        <v>162</v>
      </c>
      <c r="B46" s="117"/>
      <c r="C46" s="117"/>
      <c r="D46" s="117"/>
      <c r="E46" s="117"/>
      <c r="F46" s="117"/>
      <c r="G46" s="117"/>
      <c r="H46" s="117"/>
      <c r="I46" s="117"/>
      <c r="J46" s="117"/>
      <c r="K46" s="118"/>
      <c r="L46" s="63"/>
      <c r="M46" s="63"/>
      <c r="N46" s="63"/>
      <c r="O46" s="63"/>
      <c r="P46" s="63"/>
      <c r="Q46" s="63"/>
      <c r="R46" s="63"/>
      <c r="S46" s="63"/>
      <c r="T46" s="63"/>
      <c r="U46" s="63"/>
      <c r="V46" s="63"/>
      <c r="W46" s="63"/>
      <c r="X46" s="63"/>
      <c r="Y46" s="63"/>
      <c r="Z46" s="63"/>
    </row>
    <row r="47" spans="1:26" ht="12.75" customHeight="1">
      <c r="A47" s="69" t="s">
        <v>163</v>
      </c>
      <c r="B47" s="70"/>
      <c r="C47" s="148" t="s">
        <v>164</v>
      </c>
      <c r="D47" s="120"/>
      <c r="E47" s="120"/>
      <c r="F47" s="120"/>
      <c r="G47" s="120"/>
      <c r="H47" s="120"/>
      <c r="I47" s="120"/>
      <c r="J47" s="120"/>
      <c r="K47" s="121"/>
      <c r="L47" s="71"/>
      <c r="M47" s="71"/>
      <c r="N47" s="71"/>
      <c r="O47" s="71"/>
      <c r="P47" s="71"/>
      <c r="Q47" s="71"/>
      <c r="R47" s="71"/>
      <c r="S47" s="71"/>
      <c r="T47" s="71"/>
      <c r="U47" s="71"/>
      <c r="V47" s="71"/>
      <c r="W47" s="71"/>
      <c r="X47" s="71"/>
      <c r="Y47" s="71"/>
      <c r="Z47" s="71"/>
    </row>
    <row r="48" spans="1:26" ht="11.25" customHeight="1">
      <c r="A48" s="149"/>
      <c r="B48" s="151" t="s">
        <v>165</v>
      </c>
      <c r="C48" s="151" t="s">
        <v>166</v>
      </c>
      <c r="D48" s="151" t="s">
        <v>167</v>
      </c>
      <c r="E48" s="151" t="s">
        <v>136</v>
      </c>
      <c r="F48" s="151" t="s">
        <v>168</v>
      </c>
      <c r="G48" s="151" t="s">
        <v>140</v>
      </c>
      <c r="H48" s="152" t="s">
        <v>169</v>
      </c>
      <c r="I48" s="120"/>
      <c r="J48" s="120"/>
      <c r="K48" s="136"/>
      <c r="L48" s="72"/>
      <c r="M48" s="72"/>
      <c r="N48" s="72"/>
      <c r="O48" s="72"/>
      <c r="P48" s="72"/>
      <c r="Q48" s="72"/>
      <c r="R48" s="72"/>
      <c r="S48" s="72"/>
      <c r="T48" s="72"/>
      <c r="U48" s="72"/>
      <c r="V48" s="72"/>
      <c r="W48" s="72"/>
      <c r="X48" s="72"/>
      <c r="Y48" s="72"/>
      <c r="Z48" s="72"/>
    </row>
    <row r="49" spans="1:26" ht="11.25" customHeight="1">
      <c r="A49" s="150"/>
      <c r="B49" s="150"/>
      <c r="C49" s="150"/>
      <c r="D49" s="150"/>
      <c r="E49" s="150"/>
      <c r="F49" s="150"/>
      <c r="G49" s="150"/>
      <c r="H49" s="152" t="s">
        <v>170</v>
      </c>
      <c r="I49" s="121"/>
      <c r="J49" s="73" t="s">
        <v>171</v>
      </c>
      <c r="K49" s="73" t="s">
        <v>172</v>
      </c>
      <c r="L49" s="72"/>
      <c r="M49" s="72"/>
      <c r="N49" s="72"/>
      <c r="O49" s="72"/>
      <c r="P49" s="72"/>
      <c r="Q49" s="72"/>
      <c r="R49" s="72"/>
      <c r="S49" s="72"/>
      <c r="T49" s="72"/>
      <c r="U49" s="72"/>
      <c r="V49" s="72"/>
      <c r="W49" s="72"/>
      <c r="X49" s="72"/>
      <c r="Y49" s="72"/>
      <c r="Z49" s="72"/>
    </row>
    <row r="50" spans="1:26" ht="133.5" customHeight="1">
      <c r="A50" s="74" t="s">
        <v>173</v>
      </c>
      <c r="B50" s="75" t="s">
        <v>174</v>
      </c>
      <c r="C50" s="76">
        <v>46261</v>
      </c>
      <c r="D50" s="77" t="s">
        <v>134</v>
      </c>
      <c r="E50" s="77" t="s">
        <v>138</v>
      </c>
      <c r="F50" s="78" t="str">
        <f t="shared" ref="F50:F58" si="0">IF(OR((CODE($D50)*CODE($E50))=$D$36,(CODE($D50)*CODE($E50))=$D$35),$D$15,IF(OR((CODE($D50)*CODE($E50))=$D$34,(CODE($D50)*CODE($E50))=$D$37),$D$16,IF(OR((CODE($D50)*CODE($E50))=$D$38,(CODE($D50)*CODE($E50))=$D$39),$D$17,0)))</f>
        <v>Média</v>
      </c>
      <c r="G50" s="77" t="s">
        <v>141</v>
      </c>
      <c r="H50" s="145"/>
      <c r="I50" s="121"/>
      <c r="J50" s="79" t="s">
        <v>175</v>
      </c>
      <c r="K50" s="79" t="s">
        <v>176</v>
      </c>
      <c r="L50" s="72"/>
      <c r="M50" s="72"/>
      <c r="N50" s="72"/>
      <c r="O50" s="72"/>
      <c r="P50" s="72"/>
      <c r="Q50" s="72"/>
      <c r="R50" s="72"/>
      <c r="S50" s="72"/>
      <c r="T50" s="72"/>
      <c r="U50" s="72"/>
      <c r="V50" s="72"/>
      <c r="W50" s="72"/>
      <c r="X50" s="72"/>
      <c r="Y50" s="72"/>
      <c r="Z50" s="72"/>
    </row>
    <row r="51" spans="1:26" ht="171.75" customHeight="1">
      <c r="A51" s="74" t="s">
        <v>177</v>
      </c>
      <c r="B51" s="75" t="s">
        <v>178</v>
      </c>
      <c r="C51" s="76">
        <v>46261</v>
      </c>
      <c r="D51" s="77" t="s">
        <v>134</v>
      </c>
      <c r="E51" s="77" t="s">
        <v>139</v>
      </c>
      <c r="F51" s="78" t="str">
        <f t="shared" si="0"/>
        <v>Alta</v>
      </c>
      <c r="G51" s="77" t="s">
        <v>141</v>
      </c>
      <c r="H51" s="144"/>
      <c r="I51" s="136"/>
      <c r="J51" s="79" t="s">
        <v>179</v>
      </c>
      <c r="K51" s="79" t="s">
        <v>180</v>
      </c>
      <c r="L51" s="72"/>
      <c r="M51" s="72"/>
      <c r="N51" s="72"/>
      <c r="O51" s="72"/>
      <c r="P51" s="72"/>
      <c r="Q51" s="72"/>
      <c r="R51" s="72"/>
      <c r="S51" s="72"/>
      <c r="T51" s="72"/>
      <c r="U51" s="72"/>
      <c r="V51" s="72"/>
      <c r="W51" s="72"/>
      <c r="X51" s="72"/>
      <c r="Y51" s="72"/>
      <c r="Z51" s="72"/>
    </row>
    <row r="52" spans="1:26" ht="107.25" customHeight="1">
      <c r="A52" s="74" t="s">
        <v>181</v>
      </c>
      <c r="B52" s="75" t="s">
        <v>182</v>
      </c>
      <c r="C52" s="76">
        <v>46261</v>
      </c>
      <c r="D52" s="77" t="s">
        <v>135</v>
      </c>
      <c r="E52" s="77" t="s">
        <v>138</v>
      </c>
      <c r="F52" s="78" t="str">
        <f t="shared" si="0"/>
        <v>Alta</v>
      </c>
      <c r="G52" s="77" t="s">
        <v>141</v>
      </c>
      <c r="H52" s="144"/>
      <c r="I52" s="136"/>
      <c r="J52" s="79" t="s">
        <v>183</v>
      </c>
      <c r="K52" s="79" t="s">
        <v>184</v>
      </c>
      <c r="L52" s="72"/>
      <c r="M52" s="72"/>
      <c r="N52" s="72"/>
      <c r="O52" s="72"/>
      <c r="P52" s="72"/>
      <c r="Q52" s="72"/>
      <c r="R52" s="72"/>
      <c r="S52" s="72"/>
      <c r="T52" s="72"/>
      <c r="U52" s="72"/>
      <c r="V52" s="72"/>
      <c r="W52" s="72"/>
      <c r="X52" s="72"/>
      <c r="Y52" s="72"/>
      <c r="Z52" s="72"/>
    </row>
    <row r="53" spans="1:26" ht="133.5" customHeight="1">
      <c r="A53" s="74" t="s">
        <v>185</v>
      </c>
      <c r="B53" s="75" t="s">
        <v>186</v>
      </c>
      <c r="C53" s="76">
        <v>46261</v>
      </c>
      <c r="D53" s="77" t="s">
        <v>135</v>
      </c>
      <c r="E53" s="77" t="s">
        <v>138</v>
      </c>
      <c r="F53" s="78" t="str">
        <f t="shared" si="0"/>
        <v>Alta</v>
      </c>
      <c r="G53" s="77" t="s">
        <v>141</v>
      </c>
      <c r="H53" s="144"/>
      <c r="I53" s="136"/>
      <c r="J53" s="79" t="s">
        <v>187</v>
      </c>
      <c r="K53" s="79" t="s">
        <v>188</v>
      </c>
      <c r="L53" s="72"/>
      <c r="M53" s="72"/>
      <c r="N53" s="72"/>
      <c r="O53" s="72"/>
      <c r="P53" s="72"/>
      <c r="Q53" s="72"/>
      <c r="R53" s="72"/>
      <c r="S53" s="72"/>
      <c r="T53" s="72"/>
      <c r="U53" s="72"/>
      <c r="V53" s="72"/>
      <c r="W53" s="72"/>
      <c r="X53" s="72"/>
      <c r="Y53" s="72"/>
      <c r="Z53" s="72"/>
    </row>
    <row r="54" spans="1:26" ht="107.25" customHeight="1">
      <c r="A54" s="74" t="s">
        <v>189</v>
      </c>
      <c r="B54" s="75" t="s">
        <v>190</v>
      </c>
      <c r="C54" s="76">
        <v>46261</v>
      </c>
      <c r="D54" s="77" t="s">
        <v>135</v>
      </c>
      <c r="E54" s="77" t="s">
        <v>139</v>
      </c>
      <c r="F54" s="78" t="str">
        <f t="shared" si="0"/>
        <v>Alta</v>
      </c>
      <c r="G54" s="77" t="s">
        <v>141</v>
      </c>
      <c r="H54" s="144"/>
      <c r="I54" s="136"/>
      <c r="J54" s="79" t="s">
        <v>191</v>
      </c>
      <c r="K54" s="79" t="s">
        <v>192</v>
      </c>
      <c r="L54" s="72"/>
      <c r="M54" s="72"/>
      <c r="N54" s="72"/>
      <c r="O54" s="72"/>
      <c r="P54" s="72"/>
      <c r="Q54" s="72"/>
      <c r="R54" s="72"/>
      <c r="S54" s="72"/>
      <c r="T54" s="72"/>
      <c r="U54" s="72"/>
      <c r="V54" s="72"/>
      <c r="W54" s="72"/>
      <c r="X54" s="72"/>
      <c r="Y54" s="72"/>
      <c r="Z54" s="72"/>
    </row>
    <row r="55" spans="1:26" ht="133.5" customHeight="1">
      <c r="A55" s="74" t="s">
        <v>193</v>
      </c>
      <c r="B55" s="75" t="s">
        <v>318</v>
      </c>
      <c r="C55" s="76">
        <v>46261</v>
      </c>
      <c r="D55" s="77" t="s">
        <v>135</v>
      </c>
      <c r="E55" s="77" t="s">
        <v>138</v>
      </c>
      <c r="F55" s="78" t="str">
        <f t="shared" si="0"/>
        <v>Alta</v>
      </c>
      <c r="G55" s="77" t="s">
        <v>142</v>
      </c>
      <c r="H55" s="144"/>
      <c r="I55" s="136"/>
      <c r="J55" s="79" t="s">
        <v>336</v>
      </c>
      <c r="K55" s="79" t="s">
        <v>319</v>
      </c>
      <c r="L55" s="72"/>
      <c r="M55" s="72"/>
      <c r="N55" s="72"/>
      <c r="O55" s="72"/>
      <c r="P55" s="72"/>
      <c r="Q55" s="72"/>
      <c r="R55" s="72"/>
      <c r="S55" s="72"/>
      <c r="T55" s="72"/>
      <c r="U55" s="72"/>
      <c r="V55" s="72"/>
      <c r="W55" s="72"/>
      <c r="X55" s="72"/>
      <c r="Y55" s="72"/>
      <c r="Z55" s="72"/>
    </row>
    <row r="56" spans="1:26" ht="94.5" customHeight="1">
      <c r="A56" s="74" t="s">
        <v>197</v>
      </c>
      <c r="B56" s="75" t="s">
        <v>194</v>
      </c>
      <c r="C56" s="76">
        <v>46261</v>
      </c>
      <c r="D56" s="77" t="s">
        <v>135</v>
      </c>
      <c r="E56" s="77" t="s">
        <v>138</v>
      </c>
      <c r="F56" s="78" t="str">
        <f t="shared" si="0"/>
        <v>Alta</v>
      </c>
      <c r="G56" s="77" t="s">
        <v>142</v>
      </c>
      <c r="H56" s="144"/>
      <c r="I56" s="136"/>
      <c r="J56" s="79" t="s">
        <v>195</v>
      </c>
      <c r="K56" s="79" t="s">
        <v>196</v>
      </c>
      <c r="L56" s="72"/>
      <c r="M56" s="72"/>
      <c r="N56" s="72"/>
      <c r="O56" s="72"/>
      <c r="P56" s="72"/>
      <c r="Q56" s="72"/>
      <c r="R56" s="72"/>
      <c r="S56" s="72"/>
      <c r="T56" s="72"/>
      <c r="U56" s="72"/>
      <c r="V56" s="72"/>
      <c r="W56" s="72"/>
      <c r="X56" s="72"/>
      <c r="Y56" s="72"/>
      <c r="Z56" s="72"/>
    </row>
    <row r="57" spans="1:26" ht="120" customHeight="1">
      <c r="A57" s="74" t="s">
        <v>200</v>
      </c>
      <c r="B57" s="75" t="s">
        <v>320</v>
      </c>
      <c r="C57" s="76">
        <v>46261</v>
      </c>
      <c r="D57" s="77" t="s">
        <v>134</v>
      </c>
      <c r="E57" s="77" t="s">
        <v>139</v>
      </c>
      <c r="F57" s="78" t="str">
        <f t="shared" si="0"/>
        <v>Alta</v>
      </c>
      <c r="G57" s="77" t="s">
        <v>141</v>
      </c>
      <c r="H57" s="145"/>
      <c r="I57" s="121"/>
      <c r="J57" s="79" t="s">
        <v>198</v>
      </c>
      <c r="K57" s="79" t="s">
        <v>199</v>
      </c>
      <c r="L57" s="72"/>
      <c r="M57" s="72"/>
      <c r="N57" s="72"/>
      <c r="O57" s="72"/>
      <c r="P57" s="72"/>
      <c r="Q57" s="72"/>
      <c r="R57" s="72"/>
      <c r="S57" s="72"/>
      <c r="T57" s="72"/>
      <c r="U57" s="72"/>
      <c r="V57" s="72"/>
      <c r="W57" s="72"/>
      <c r="X57" s="72"/>
      <c r="Y57" s="72"/>
      <c r="Z57" s="72"/>
    </row>
    <row r="58" spans="1:26" ht="107.25" customHeight="1">
      <c r="A58" s="74" t="s">
        <v>203</v>
      </c>
      <c r="B58" s="75" t="s">
        <v>321</v>
      </c>
      <c r="C58" s="76">
        <v>46261</v>
      </c>
      <c r="D58" s="77" t="s">
        <v>134</v>
      </c>
      <c r="E58" s="77" t="s">
        <v>139</v>
      </c>
      <c r="F58" s="78" t="str">
        <f t="shared" si="0"/>
        <v>Alta</v>
      </c>
      <c r="G58" s="77" t="s">
        <v>142</v>
      </c>
      <c r="H58" s="145"/>
      <c r="I58" s="121"/>
      <c r="J58" s="79" t="s">
        <v>322</v>
      </c>
      <c r="K58" s="79" t="s">
        <v>323</v>
      </c>
      <c r="L58" s="72"/>
      <c r="M58" s="72"/>
      <c r="N58" s="72"/>
      <c r="O58" s="72"/>
      <c r="P58" s="72"/>
      <c r="Q58" s="72"/>
      <c r="R58" s="72"/>
      <c r="S58" s="72"/>
      <c r="T58" s="72"/>
      <c r="U58" s="72"/>
      <c r="V58" s="72"/>
      <c r="W58" s="72"/>
      <c r="X58" s="72"/>
      <c r="Y58" s="72"/>
      <c r="Z58" s="72"/>
    </row>
    <row r="59" spans="1:26" ht="10.5" customHeight="1">
      <c r="A59" s="74" t="s">
        <v>324</v>
      </c>
      <c r="B59" s="75" t="s">
        <v>325</v>
      </c>
      <c r="C59" s="76">
        <v>46261</v>
      </c>
      <c r="D59" s="77" t="s">
        <v>133</v>
      </c>
      <c r="E59" s="77" t="s">
        <v>138</v>
      </c>
      <c r="F59" s="78" t="str">
        <f>IF(OR((CODE($D59)*CODE($E59))=$D$36,(CODE($D59)*CODE($E59))=$D$35),$D$15,IF(OR((CODE($D59)*CODE($E59))=$D$34,(CODE($D59)*CODE($E59))=$D$37),$D$16,IF(OR((CODE($D59)*CODE($E59))=$D$38,(CODE($D59)*CODE($E59))=$D$39),$D$17,0)))</f>
        <v>Baixa</v>
      </c>
      <c r="G59" s="77" t="s">
        <v>141</v>
      </c>
      <c r="I59" s="63"/>
      <c r="J59" s="79" t="s">
        <v>201</v>
      </c>
      <c r="K59" s="79" t="s">
        <v>202</v>
      </c>
      <c r="L59" s="63"/>
      <c r="M59" s="63"/>
      <c r="N59" s="63"/>
      <c r="O59" s="63"/>
      <c r="P59" s="63"/>
      <c r="Q59" s="63"/>
      <c r="R59" s="63"/>
      <c r="S59" s="63"/>
      <c r="T59" s="63"/>
      <c r="U59" s="63"/>
      <c r="V59" s="63"/>
      <c r="W59" s="63"/>
      <c r="X59" s="63"/>
      <c r="Y59" s="63"/>
      <c r="Z59" s="63"/>
    </row>
    <row r="60" spans="1:26" ht="10.5" customHeight="1">
      <c r="A60" s="74" t="s">
        <v>326</v>
      </c>
      <c r="B60" s="75" t="s">
        <v>327</v>
      </c>
      <c r="C60" s="76">
        <v>46261</v>
      </c>
      <c r="D60" s="77" t="s">
        <v>134</v>
      </c>
      <c r="E60" s="77" t="s">
        <v>137</v>
      </c>
      <c r="F60" s="78" t="str">
        <f>IF(OR((CODE($D60)*CODE($E60))=$D$36,(CODE($D60)*CODE($E60))=$D$35),$D$15,IF(OR((CODE($D60)*CODE($E60))=$D$34,(CODE($D60)*CODE($E60))=$D$37),$D$16,IF(OR((CODE($D60)*CODE($E60))=$D$38,(CODE($D60)*CODE($E60))=$D$39),$D$17,0)))</f>
        <v>Baixa</v>
      </c>
      <c r="G60" s="77" t="s">
        <v>141</v>
      </c>
      <c r="I60" s="63"/>
      <c r="J60" s="79" t="s">
        <v>204</v>
      </c>
      <c r="K60" s="79" t="s">
        <v>205</v>
      </c>
      <c r="L60" s="63"/>
      <c r="M60" s="63"/>
      <c r="N60" s="63"/>
      <c r="O60" s="63"/>
      <c r="P60" s="63"/>
      <c r="Q60" s="63"/>
      <c r="R60" s="63"/>
      <c r="S60" s="63"/>
      <c r="T60" s="63"/>
      <c r="U60" s="63"/>
      <c r="V60" s="63"/>
      <c r="W60" s="63"/>
      <c r="X60" s="63"/>
      <c r="Y60" s="63"/>
      <c r="Z60" s="63"/>
    </row>
    <row r="61" spans="1:26" ht="10.5" customHeight="1">
      <c r="A61" s="59" t="s">
        <v>328</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c r="A62" s="59" t="s">
        <v>329</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H50:I50"/>
    <mergeCell ref="H51:I51"/>
    <mergeCell ref="H52:I52"/>
    <mergeCell ref="H53:I53"/>
    <mergeCell ref="H54:I54"/>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A1:K1"/>
    <mergeCell ref="D33:E33"/>
    <mergeCell ref="A41:K41"/>
    <mergeCell ref="A42:K42"/>
    <mergeCell ref="A43:K43"/>
  </mergeCells>
  <conditionalFormatting sqref="F50:F58">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70" zoomScaleNormal="70" workbookViewId="0">
      <selection sqref="A1:N1"/>
    </sheetView>
  </sheetViews>
  <sheetFormatPr defaultColWidth="12.59765625" defaultRowHeight="15" customHeight="1"/>
  <cols>
    <col min="1" max="1" width="32" customWidth="1"/>
    <col min="2" max="2" width="11.69921875" customWidth="1"/>
    <col min="3" max="3" width="0.8984375" customWidth="1"/>
    <col min="4" max="4" width="34" customWidth="1"/>
    <col min="5" max="5" width="11.69921875" customWidth="1"/>
    <col min="6" max="6" width="1.09765625" customWidth="1"/>
    <col min="7" max="7" width="12.3984375" customWidth="1"/>
    <col min="8" max="8" width="7" customWidth="1"/>
    <col min="9" max="9" width="5.5" customWidth="1"/>
    <col min="10" max="10" width="8.5" customWidth="1"/>
    <col min="11" max="11" width="10.5" customWidth="1"/>
    <col min="12" max="12" width="1.3984375" customWidth="1"/>
    <col min="13" max="13" width="37.3984375" customWidth="1"/>
    <col min="14" max="14" width="10" customWidth="1"/>
    <col min="15" max="23" width="8.09765625" customWidth="1"/>
    <col min="24" max="26" width="8.59765625" customWidth="1"/>
  </cols>
  <sheetData>
    <row r="1" spans="1:26" ht="21" customHeight="1">
      <c r="A1" s="155" t="s">
        <v>206</v>
      </c>
      <c r="B1" s="120"/>
      <c r="C1" s="120"/>
      <c r="D1" s="120"/>
      <c r="E1" s="120"/>
      <c r="F1" s="120"/>
      <c r="G1" s="120"/>
      <c r="H1" s="120"/>
      <c r="I1" s="120"/>
      <c r="J1" s="120"/>
      <c r="K1" s="120"/>
      <c r="L1" s="120"/>
      <c r="M1" s="120"/>
      <c r="N1" s="121"/>
      <c r="O1" s="62"/>
      <c r="P1" s="62"/>
      <c r="Q1" s="62"/>
      <c r="R1" s="62"/>
      <c r="S1" s="62"/>
      <c r="T1" s="62"/>
      <c r="U1" s="62"/>
      <c r="V1" s="62"/>
      <c r="W1" s="62"/>
      <c r="X1" s="62"/>
      <c r="Y1" s="62"/>
      <c r="Z1" s="62"/>
    </row>
    <row r="2" spans="1:26" ht="12.75" customHeight="1">
      <c r="A2" s="156" t="s">
        <v>158</v>
      </c>
      <c r="B2" s="120"/>
      <c r="C2" s="120"/>
      <c r="D2" s="120"/>
      <c r="E2" s="120"/>
      <c r="F2" s="120"/>
      <c r="G2" s="120"/>
      <c r="H2" s="120"/>
      <c r="I2" s="120"/>
      <c r="J2" s="120"/>
      <c r="K2" s="120"/>
      <c r="L2" s="120"/>
      <c r="M2" s="120"/>
      <c r="N2" s="121"/>
      <c r="O2" s="80"/>
      <c r="P2" s="80"/>
      <c r="Q2" s="80"/>
      <c r="R2" s="80"/>
      <c r="S2" s="80"/>
      <c r="T2" s="80"/>
      <c r="U2" s="80"/>
      <c r="V2" s="80"/>
      <c r="W2" s="80"/>
      <c r="X2" s="80"/>
      <c r="Y2" s="80"/>
      <c r="Z2" s="80"/>
    </row>
    <row r="3" spans="1:26" ht="15" customHeight="1">
      <c r="A3" s="157" t="s">
        <v>207</v>
      </c>
      <c r="B3" s="120"/>
      <c r="C3" s="120"/>
      <c r="D3" s="120"/>
      <c r="E3" s="120"/>
      <c r="F3" s="120"/>
      <c r="G3" s="120"/>
      <c r="H3" s="120"/>
      <c r="I3" s="120"/>
      <c r="J3" s="120"/>
      <c r="K3" s="120"/>
      <c r="L3" s="120"/>
      <c r="M3" s="120"/>
      <c r="N3" s="121"/>
      <c r="O3" s="80"/>
      <c r="P3" s="80"/>
      <c r="Q3" s="80"/>
      <c r="R3" s="80"/>
      <c r="S3" s="80"/>
      <c r="T3" s="80"/>
      <c r="U3" s="80"/>
      <c r="V3" s="80"/>
      <c r="W3" s="80"/>
      <c r="X3" s="80"/>
      <c r="Y3" s="80"/>
      <c r="Z3" s="80"/>
    </row>
    <row r="4" spans="1:26" ht="15" customHeight="1">
      <c r="A4" s="158" t="s">
        <v>208</v>
      </c>
      <c r="B4" s="120"/>
      <c r="C4" s="120"/>
      <c r="D4" s="120"/>
      <c r="E4" s="120"/>
      <c r="F4" s="120"/>
      <c r="G4" s="120"/>
      <c r="H4" s="120"/>
      <c r="I4" s="120"/>
      <c r="J4" s="120"/>
      <c r="K4" s="120"/>
      <c r="L4" s="120"/>
      <c r="M4" s="120"/>
      <c r="N4" s="121"/>
      <c r="O4" s="80"/>
      <c r="P4" s="80"/>
      <c r="Q4" s="80"/>
      <c r="R4" s="80"/>
      <c r="S4" s="80"/>
      <c r="T4" s="80"/>
      <c r="U4" s="80"/>
      <c r="V4" s="80"/>
      <c r="W4" s="80"/>
      <c r="X4" s="80"/>
      <c r="Y4" s="80"/>
      <c r="Z4" s="80"/>
    </row>
    <row r="5" spans="1:26" ht="15.75" customHeight="1">
      <c r="A5" s="159" t="s">
        <v>161</v>
      </c>
      <c r="B5" s="120"/>
      <c r="C5" s="120"/>
      <c r="D5" s="120"/>
      <c r="E5" s="120"/>
      <c r="F5" s="120"/>
      <c r="G5" s="120"/>
      <c r="H5" s="120"/>
      <c r="I5" s="120"/>
      <c r="J5" s="120"/>
      <c r="K5" s="120"/>
      <c r="L5" s="120"/>
      <c r="M5" s="120"/>
      <c r="N5" s="121"/>
      <c r="O5" s="80"/>
      <c r="P5" s="80"/>
      <c r="Q5" s="80"/>
      <c r="R5" s="80"/>
      <c r="S5" s="80"/>
      <c r="T5" s="80"/>
      <c r="U5" s="80"/>
      <c r="V5" s="80"/>
      <c r="W5" s="80"/>
      <c r="X5" s="80"/>
      <c r="Y5" s="80"/>
      <c r="Z5" s="80"/>
    </row>
    <row r="6" spans="1:26" ht="20.25" customHeight="1">
      <c r="A6" s="3"/>
      <c r="B6" s="3"/>
      <c r="C6" s="3"/>
      <c r="D6" s="3"/>
      <c r="E6" s="3"/>
      <c r="F6" s="3"/>
      <c r="G6" s="3"/>
      <c r="H6" s="3"/>
      <c r="I6" s="3"/>
      <c r="J6" s="3"/>
      <c r="K6" s="3"/>
      <c r="L6" s="3"/>
      <c r="M6" s="3"/>
      <c r="N6" s="3"/>
      <c r="O6" s="3"/>
      <c r="P6" s="3"/>
      <c r="Q6" s="3"/>
      <c r="R6" s="3"/>
      <c r="S6" s="3"/>
      <c r="T6" s="3"/>
      <c r="U6" s="3"/>
      <c r="V6" s="3"/>
      <c r="W6" s="3"/>
      <c r="X6" s="3"/>
      <c r="Y6" s="3"/>
      <c r="Z6" s="3"/>
    </row>
    <row r="7" spans="1:26" ht="12" customHeight="1">
      <c r="A7" s="153" t="s">
        <v>209</v>
      </c>
      <c r="B7" s="121"/>
      <c r="C7" s="3"/>
      <c r="D7" s="153" t="s">
        <v>210</v>
      </c>
      <c r="E7" s="121"/>
      <c r="F7" s="3"/>
      <c r="G7" s="153" t="s">
        <v>211</v>
      </c>
      <c r="H7" s="120"/>
      <c r="I7" s="120"/>
      <c r="J7" s="120"/>
      <c r="K7" s="121"/>
      <c r="L7" s="3"/>
      <c r="M7" s="153" t="s">
        <v>212</v>
      </c>
      <c r="N7" s="121"/>
      <c r="O7" s="3"/>
      <c r="P7" s="3"/>
      <c r="Q7" s="3"/>
      <c r="R7" s="3"/>
      <c r="S7" s="3"/>
      <c r="T7" s="3"/>
      <c r="U7" s="3"/>
      <c r="V7" s="3"/>
      <c r="W7" s="3"/>
      <c r="X7" s="3"/>
      <c r="Y7" s="3"/>
      <c r="Z7" s="3"/>
    </row>
    <row r="8" spans="1:26" ht="13.8">
      <c r="A8" s="81" t="s">
        <v>213</v>
      </c>
      <c r="B8" s="82" t="s">
        <v>214</v>
      </c>
      <c r="C8" s="3"/>
      <c r="D8" s="81" t="s">
        <v>215</v>
      </c>
      <c r="E8" s="82" t="s">
        <v>214</v>
      </c>
      <c r="F8" s="3"/>
      <c r="G8" s="81" t="s">
        <v>216</v>
      </c>
      <c r="H8" s="81" t="s">
        <v>217</v>
      </c>
      <c r="I8" s="81" t="s">
        <v>134</v>
      </c>
      <c r="J8" s="82" t="s">
        <v>218</v>
      </c>
      <c r="K8" s="82" t="s">
        <v>219</v>
      </c>
      <c r="L8" s="3"/>
      <c r="M8" s="82" t="s">
        <v>220</v>
      </c>
      <c r="N8" s="82" t="s">
        <v>221</v>
      </c>
      <c r="O8" s="3"/>
      <c r="P8" s="3"/>
      <c r="Q8" s="3"/>
      <c r="R8" s="3"/>
      <c r="S8" s="3"/>
      <c r="T8" s="3"/>
      <c r="U8" s="3"/>
      <c r="V8" s="3"/>
      <c r="W8" s="3"/>
      <c r="X8" s="3"/>
      <c r="Y8" s="3"/>
      <c r="Z8" s="3"/>
    </row>
    <row r="9" spans="1:26" ht="30" customHeight="1">
      <c r="A9" s="83" t="s">
        <v>222</v>
      </c>
      <c r="B9" s="84" t="s">
        <v>217</v>
      </c>
      <c r="C9" s="3"/>
      <c r="D9" s="83" t="s">
        <v>223</v>
      </c>
      <c r="E9" s="84" t="s">
        <v>217</v>
      </c>
      <c r="F9" s="3"/>
      <c r="G9" s="81" t="s">
        <v>224</v>
      </c>
      <c r="H9" s="85">
        <v>5</v>
      </c>
      <c r="I9" s="85">
        <v>2</v>
      </c>
      <c r="J9" s="85">
        <v>0</v>
      </c>
      <c r="K9" s="82">
        <f>(H9*4)+(I9*6)+(J9*8)</f>
        <v>32</v>
      </c>
      <c r="L9" s="3"/>
      <c r="M9" s="86" t="s">
        <v>225</v>
      </c>
      <c r="N9" s="87">
        <v>4</v>
      </c>
      <c r="O9" s="3"/>
      <c r="P9" s="3"/>
      <c r="Q9" s="3"/>
      <c r="R9" s="3"/>
      <c r="S9" s="3"/>
      <c r="T9" s="3"/>
      <c r="U9" s="3"/>
      <c r="V9" s="3"/>
      <c r="W9" s="3"/>
      <c r="X9" s="3"/>
      <c r="Y9" s="3"/>
      <c r="Z9" s="3"/>
    </row>
    <row r="10" spans="1:26" ht="17.25" customHeight="1">
      <c r="A10" s="83" t="s">
        <v>226</v>
      </c>
      <c r="B10" s="84" t="s">
        <v>217</v>
      </c>
      <c r="C10" s="3"/>
      <c r="D10" s="83" t="s">
        <v>227</v>
      </c>
      <c r="E10" s="84" t="s">
        <v>217</v>
      </c>
      <c r="F10" s="3"/>
      <c r="G10" s="81" t="s">
        <v>228</v>
      </c>
      <c r="H10" s="85">
        <v>0</v>
      </c>
      <c r="I10" s="85">
        <v>0</v>
      </c>
      <c r="J10" s="85">
        <v>0</v>
      </c>
      <c r="K10" s="82">
        <f>(H10*3)+(I10*4)+(J10*6)</f>
        <v>0</v>
      </c>
      <c r="L10" s="3"/>
      <c r="M10" s="86" t="s">
        <v>229</v>
      </c>
      <c r="N10" s="87">
        <v>0</v>
      </c>
      <c r="O10" s="3"/>
      <c r="P10" s="3"/>
      <c r="Q10" s="3"/>
      <c r="R10" s="3"/>
      <c r="S10" s="3"/>
      <c r="T10" s="3"/>
      <c r="U10" s="3"/>
      <c r="V10" s="3"/>
      <c r="W10" s="3"/>
      <c r="X10" s="3"/>
      <c r="Y10" s="3"/>
      <c r="Z10" s="3"/>
    </row>
    <row r="11" spans="1:26" ht="17.25" customHeight="1">
      <c r="A11" s="83" t="s">
        <v>231</v>
      </c>
      <c r="B11" s="84" t="s">
        <v>217</v>
      </c>
      <c r="C11" s="3"/>
      <c r="D11" s="83" t="s">
        <v>232</v>
      </c>
      <c r="E11" s="84" t="s">
        <v>134</v>
      </c>
      <c r="F11" s="3"/>
      <c r="G11" s="153" t="s">
        <v>234</v>
      </c>
      <c r="H11" s="120"/>
      <c r="I11" s="120"/>
      <c r="J11" s="120"/>
      <c r="K11" s="121"/>
      <c r="L11" s="3"/>
      <c r="M11" s="86" t="s">
        <v>236</v>
      </c>
      <c r="N11" s="87">
        <v>2</v>
      </c>
      <c r="O11" s="3"/>
      <c r="P11" s="3"/>
      <c r="Q11" s="3"/>
      <c r="R11" s="3"/>
      <c r="S11" s="3"/>
      <c r="T11" s="3"/>
      <c r="U11" s="3"/>
      <c r="V11" s="3"/>
      <c r="W11" s="3"/>
      <c r="X11" s="3"/>
      <c r="Y11" s="3"/>
      <c r="Z11" s="3"/>
    </row>
    <row r="12" spans="1:26" ht="30" customHeight="1">
      <c r="A12" s="83" t="s">
        <v>237</v>
      </c>
      <c r="B12" s="84" t="s">
        <v>217</v>
      </c>
      <c r="C12" s="3"/>
      <c r="D12" s="83" t="s">
        <v>238</v>
      </c>
      <c r="E12" s="84" t="s">
        <v>134</v>
      </c>
      <c r="F12" s="3"/>
      <c r="G12" s="81" t="s">
        <v>216</v>
      </c>
      <c r="H12" s="81" t="s">
        <v>217</v>
      </c>
      <c r="I12" s="81" t="s">
        <v>134</v>
      </c>
      <c r="J12" s="82" t="s">
        <v>218</v>
      </c>
      <c r="K12" s="82" t="s">
        <v>219</v>
      </c>
      <c r="L12" s="3"/>
      <c r="M12" s="86" t="s">
        <v>242</v>
      </c>
      <c r="N12" s="87">
        <v>1</v>
      </c>
      <c r="O12" s="3"/>
      <c r="P12" s="3"/>
      <c r="Q12" s="3"/>
      <c r="R12" s="3"/>
      <c r="S12" s="3"/>
      <c r="T12" s="3"/>
      <c r="U12" s="3"/>
      <c r="V12" s="3"/>
      <c r="W12" s="3"/>
      <c r="X12" s="3"/>
      <c r="Y12" s="3"/>
      <c r="Z12" s="3"/>
    </row>
    <row r="13" spans="1:26" ht="17.25" customHeight="1">
      <c r="A13" s="83" t="s">
        <v>243</v>
      </c>
      <c r="B13" s="84" t="s">
        <v>217</v>
      </c>
      <c r="C13" s="3"/>
      <c r="D13" s="83" t="s">
        <v>244</v>
      </c>
      <c r="E13" s="84" t="s">
        <v>134</v>
      </c>
      <c r="F13" s="3"/>
      <c r="G13" s="81" t="s">
        <v>245</v>
      </c>
      <c r="H13" s="85">
        <v>2</v>
      </c>
      <c r="I13" s="85">
        <v>3</v>
      </c>
      <c r="J13" s="85">
        <v>4</v>
      </c>
      <c r="K13" s="82">
        <f>(H13*3)+(I13*4)+(J13*6)</f>
        <v>42</v>
      </c>
      <c r="L13" s="3"/>
      <c r="M13" s="86" t="s">
        <v>246</v>
      </c>
      <c r="N13" s="87">
        <v>1</v>
      </c>
      <c r="O13" s="3"/>
      <c r="P13" s="3"/>
      <c r="Q13" s="3"/>
      <c r="R13" s="3"/>
      <c r="S13" s="3"/>
      <c r="T13" s="3"/>
      <c r="U13" s="3"/>
      <c r="V13" s="3"/>
      <c r="W13" s="3" t="s">
        <v>247</v>
      </c>
      <c r="X13" s="3"/>
      <c r="Y13" s="3"/>
      <c r="Z13" s="3"/>
    </row>
    <row r="14" spans="1:26" ht="30" customHeight="1">
      <c r="A14" s="83" t="s">
        <v>248</v>
      </c>
      <c r="B14" s="84" t="s">
        <v>134</v>
      </c>
      <c r="C14" s="3"/>
      <c r="D14" s="83" t="s">
        <v>249</v>
      </c>
      <c r="E14" s="84" t="s">
        <v>218</v>
      </c>
      <c r="F14" s="3"/>
      <c r="G14" s="81" t="s">
        <v>252</v>
      </c>
      <c r="H14" s="85">
        <v>0</v>
      </c>
      <c r="I14" s="85">
        <v>2</v>
      </c>
      <c r="J14" s="85">
        <v>1</v>
      </c>
      <c r="K14" s="82">
        <f>(H14*4)+(I14*5)+(J14*7)</f>
        <v>17</v>
      </c>
      <c r="L14" s="3"/>
      <c r="M14" s="86" t="s">
        <v>253</v>
      </c>
      <c r="N14" s="87">
        <v>5</v>
      </c>
      <c r="O14" s="3"/>
      <c r="P14" s="3"/>
      <c r="Q14" s="3"/>
      <c r="R14" s="3"/>
      <c r="S14" s="3"/>
      <c r="T14" s="3"/>
      <c r="U14" s="3"/>
      <c r="V14" s="3"/>
      <c r="W14" s="3"/>
      <c r="X14" s="3"/>
      <c r="Y14" s="3"/>
      <c r="Z14" s="3"/>
    </row>
    <row r="15" spans="1:26" ht="30" customHeight="1">
      <c r="A15" s="83" t="s">
        <v>254</v>
      </c>
      <c r="B15" s="84" t="s">
        <v>134</v>
      </c>
      <c r="C15" s="3"/>
      <c r="D15" s="83" t="s">
        <v>255</v>
      </c>
      <c r="E15" s="84" t="s">
        <v>218</v>
      </c>
      <c r="F15" s="3"/>
      <c r="G15" s="81" t="s">
        <v>258</v>
      </c>
      <c r="H15" s="85">
        <v>3</v>
      </c>
      <c r="I15" s="85">
        <v>0</v>
      </c>
      <c r="J15" s="85">
        <v>0</v>
      </c>
      <c r="K15" s="82">
        <f>(H15*3)+(I15*4)+(J15*6)</f>
        <v>9</v>
      </c>
      <c r="L15" s="3"/>
      <c r="M15" s="86" t="s">
        <v>261</v>
      </c>
      <c r="N15" s="87">
        <v>4</v>
      </c>
      <c r="O15" s="3"/>
      <c r="P15" s="3"/>
      <c r="Q15" s="3"/>
      <c r="R15" s="3"/>
      <c r="S15" s="3"/>
      <c r="T15" s="3"/>
      <c r="U15" s="3"/>
      <c r="V15" s="3"/>
      <c r="W15" s="3"/>
      <c r="X15" s="3"/>
      <c r="Y15" s="3"/>
      <c r="Z15" s="3"/>
    </row>
    <row r="16" spans="1:26" ht="30" customHeight="1">
      <c r="A16" s="83"/>
      <c r="B16" s="84"/>
      <c r="C16" s="3"/>
      <c r="D16" s="83" t="s">
        <v>263</v>
      </c>
      <c r="E16" s="84" t="s">
        <v>218</v>
      </c>
      <c r="F16" s="3"/>
      <c r="G16" s="154" t="s">
        <v>264</v>
      </c>
      <c r="H16" s="120"/>
      <c r="I16" s="120"/>
      <c r="J16" s="121"/>
      <c r="K16" s="99">
        <f>SUM(K9,K10,K13,K14,K15)</f>
        <v>100</v>
      </c>
      <c r="L16" s="3"/>
      <c r="M16" s="86" t="s">
        <v>270</v>
      </c>
      <c r="N16" s="87">
        <v>3</v>
      </c>
      <c r="O16" s="3"/>
      <c r="P16" s="3"/>
      <c r="Q16" s="3"/>
      <c r="R16" s="3"/>
      <c r="S16" s="3"/>
      <c r="T16" s="3"/>
      <c r="U16" s="3"/>
      <c r="V16" s="3"/>
      <c r="W16" s="3"/>
      <c r="X16" s="3"/>
      <c r="Y16" s="3"/>
      <c r="Z16" s="3"/>
    </row>
    <row r="17" spans="1:26" ht="30" customHeight="1">
      <c r="A17" s="83"/>
      <c r="B17" s="84"/>
      <c r="C17" s="3"/>
      <c r="D17" s="83" t="s">
        <v>271</v>
      </c>
      <c r="E17" s="84" t="s">
        <v>218</v>
      </c>
      <c r="F17" s="3"/>
      <c r="G17" s="3"/>
      <c r="H17" s="3"/>
      <c r="I17" s="3"/>
      <c r="J17" s="3"/>
      <c r="K17" s="3"/>
      <c r="L17" s="3"/>
      <c r="M17" s="86" t="s">
        <v>275</v>
      </c>
      <c r="N17" s="87">
        <v>3</v>
      </c>
      <c r="O17" s="3"/>
      <c r="P17" s="3"/>
      <c r="Q17" s="3"/>
      <c r="R17" s="3"/>
      <c r="S17" s="3"/>
      <c r="T17" s="3"/>
      <c r="U17" s="3"/>
      <c r="V17" s="3"/>
      <c r="W17" s="3"/>
      <c r="X17" s="3"/>
      <c r="Y17" s="3"/>
      <c r="Z17" s="3"/>
    </row>
    <row r="18" spans="1:26" ht="17.25" customHeight="1">
      <c r="A18" s="83"/>
      <c r="B18" s="84"/>
      <c r="C18" s="3"/>
      <c r="D18" s="83" t="s">
        <v>276</v>
      </c>
      <c r="E18" s="84" t="s">
        <v>134</v>
      </c>
      <c r="F18" s="3"/>
      <c r="G18" s="3"/>
      <c r="H18" s="3"/>
      <c r="I18" s="3"/>
      <c r="J18" s="3"/>
      <c r="K18" s="3"/>
      <c r="L18" s="3"/>
      <c r="M18" s="86" t="s">
        <v>278</v>
      </c>
      <c r="N18" s="87">
        <v>1</v>
      </c>
      <c r="O18" s="3"/>
      <c r="P18" s="3"/>
      <c r="Q18" s="3"/>
      <c r="R18" s="3"/>
      <c r="S18" s="3"/>
      <c r="T18" s="3"/>
      <c r="U18" s="3"/>
      <c r="V18" s="3"/>
      <c r="W18" s="3"/>
      <c r="X18" s="3"/>
      <c r="Y18" s="3"/>
      <c r="Z18" s="3"/>
    </row>
    <row r="19" spans="1:26" ht="17.25" customHeight="1">
      <c r="A19" s="83"/>
      <c r="B19" s="84"/>
      <c r="C19" s="3"/>
      <c r="D19" s="83" t="s">
        <v>279</v>
      </c>
      <c r="E19" s="84" t="s">
        <v>134</v>
      </c>
      <c r="F19" s="3"/>
      <c r="G19" s="3"/>
      <c r="H19" s="3"/>
      <c r="I19" s="3"/>
      <c r="J19" s="3"/>
      <c r="K19" s="3"/>
      <c r="L19" s="3"/>
      <c r="M19" s="86" t="s">
        <v>281</v>
      </c>
      <c r="N19" s="87">
        <v>2</v>
      </c>
      <c r="O19" s="3"/>
      <c r="P19" s="3"/>
      <c r="Q19" s="3"/>
      <c r="R19" s="3"/>
      <c r="S19" s="3"/>
      <c r="T19" s="3"/>
      <c r="U19" s="3"/>
      <c r="V19" s="3"/>
      <c r="W19" s="3"/>
      <c r="X19" s="3"/>
      <c r="Y19" s="3"/>
      <c r="Z19" s="3"/>
    </row>
    <row r="20" spans="1:26" ht="30" customHeight="1">
      <c r="A20" s="83"/>
      <c r="B20" s="84"/>
      <c r="C20" s="3"/>
      <c r="D20" s="83" t="s">
        <v>283</v>
      </c>
      <c r="E20" s="84" t="s">
        <v>218</v>
      </c>
      <c r="F20" s="3"/>
      <c r="G20" s="3"/>
      <c r="H20" s="3"/>
      <c r="I20" s="3"/>
      <c r="J20" s="3"/>
      <c r="K20" s="3"/>
      <c r="L20" s="3"/>
      <c r="M20" s="86" t="s">
        <v>284</v>
      </c>
      <c r="N20" s="87">
        <v>2</v>
      </c>
      <c r="O20" s="3"/>
      <c r="P20" s="3"/>
      <c r="Q20" s="3"/>
      <c r="R20" s="3"/>
      <c r="S20" s="3"/>
      <c r="T20" s="3"/>
      <c r="U20" s="3"/>
      <c r="V20" s="3"/>
      <c r="W20" s="3"/>
      <c r="X20" s="3"/>
      <c r="Y20" s="3"/>
      <c r="Z20" s="3"/>
    </row>
    <row r="21" spans="1:26" ht="30" customHeight="1">
      <c r="A21" s="106"/>
      <c r="B21" s="3"/>
      <c r="C21" s="3"/>
      <c r="D21" s="83" t="s">
        <v>285</v>
      </c>
      <c r="E21" s="84" t="s">
        <v>217</v>
      </c>
      <c r="F21" s="3"/>
      <c r="G21" s="3"/>
      <c r="H21" s="3"/>
      <c r="I21" s="3"/>
      <c r="J21" s="3"/>
      <c r="K21" s="3"/>
      <c r="L21" s="3"/>
      <c r="M21" s="86" t="s">
        <v>286</v>
      </c>
      <c r="N21" s="87">
        <v>0</v>
      </c>
      <c r="O21" s="3"/>
      <c r="P21" s="3"/>
      <c r="Q21" s="3"/>
      <c r="R21" s="3"/>
      <c r="S21" s="3"/>
      <c r="T21" s="3"/>
      <c r="U21" s="3"/>
      <c r="V21" s="3"/>
      <c r="W21" s="3"/>
      <c r="X21" s="3"/>
      <c r="Y21" s="3"/>
      <c r="Z21" s="3"/>
    </row>
    <row r="22" spans="1:26" ht="17.25" customHeight="1">
      <c r="A22" s="106"/>
      <c r="B22" s="3"/>
      <c r="C22" s="3"/>
      <c r="D22" s="83" t="s">
        <v>287</v>
      </c>
      <c r="E22" s="84" t="s">
        <v>217</v>
      </c>
      <c r="F22" s="3"/>
      <c r="G22" s="3"/>
      <c r="H22" s="3"/>
      <c r="I22" s="3"/>
      <c r="J22" s="3"/>
      <c r="K22" s="3"/>
      <c r="L22" s="3"/>
      <c r="M22" s="86" t="s">
        <v>288</v>
      </c>
      <c r="N22" s="87">
        <v>3</v>
      </c>
      <c r="O22" s="3"/>
      <c r="P22" s="3"/>
      <c r="Q22" s="3"/>
      <c r="R22" s="3"/>
      <c r="S22" s="3"/>
      <c r="T22" s="3"/>
      <c r="U22" s="3"/>
      <c r="V22" s="3"/>
      <c r="W22" s="3"/>
      <c r="X22" s="3"/>
      <c r="Y22" s="3"/>
      <c r="Z22" s="3"/>
    </row>
    <row r="23" spans="1:26" ht="17.25" customHeight="1">
      <c r="A23" s="106"/>
      <c r="B23" s="3"/>
      <c r="C23" s="3"/>
      <c r="D23" s="83" t="s">
        <v>289</v>
      </c>
      <c r="E23" s="84" t="s">
        <v>217</v>
      </c>
      <c r="F23" s="3"/>
      <c r="G23" s="3"/>
      <c r="H23" s="3"/>
      <c r="I23" s="3"/>
      <c r="J23" s="3"/>
      <c r="K23" s="3"/>
      <c r="L23" s="3"/>
      <c r="M23" s="109" t="s">
        <v>290</v>
      </c>
      <c r="N23" s="110">
        <f>SUM(N9:N22)</f>
        <v>31</v>
      </c>
      <c r="O23" s="3"/>
      <c r="P23" s="3"/>
      <c r="Q23" s="3"/>
      <c r="R23" s="3"/>
      <c r="S23" s="3"/>
      <c r="T23" s="3"/>
      <c r="U23" s="3"/>
      <c r="V23" s="3"/>
      <c r="W23" s="3"/>
      <c r="X23" s="3"/>
      <c r="Y23" s="3"/>
      <c r="Z23" s="3"/>
    </row>
    <row r="24" spans="1:26" ht="15" customHeight="1">
      <c r="A24" s="1"/>
      <c r="B24" s="1"/>
      <c r="C24" s="1"/>
      <c r="D24" s="1"/>
      <c r="E24" s="1"/>
      <c r="F24" s="1"/>
      <c r="G24" s="1"/>
      <c r="H24" s="1"/>
      <c r="I24" s="1"/>
      <c r="J24" s="1"/>
      <c r="K24" s="1"/>
      <c r="L24" s="1"/>
      <c r="M24" s="109" t="s">
        <v>292</v>
      </c>
      <c r="N24" s="99">
        <f>(N23*0.01)+0.65</f>
        <v>0.96</v>
      </c>
      <c r="O24" s="1"/>
      <c r="P24" s="1"/>
      <c r="Q24" s="1"/>
      <c r="R24" s="1"/>
      <c r="S24" s="1"/>
      <c r="T24" s="1"/>
      <c r="U24" s="1"/>
      <c r="V24" s="1"/>
      <c r="W24" s="1"/>
      <c r="X24" s="1"/>
      <c r="Y24" s="1"/>
      <c r="Z24" s="1"/>
    </row>
    <row r="25" spans="1:26" ht="15" customHeight="1">
      <c r="A25" s="1"/>
      <c r="B25" s="1"/>
      <c r="C25" s="1"/>
      <c r="D25" s="1"/>
      <c r="E25" s="1"/>
      <c r="F25" s="1"/>
      <c r="G25" s="1"/>
      <c r="H25" s="1"/>
      <c r="I25" s="1"/>
      <c r="J25" s="1"/>
      <c r="K25" s="1"/>
      <c r="L25" s="1"/>
      <c r="M25" s="109" t="s">
        <v>293</v>
      </c>
      <c r="N25" s="112">
        <f>K16*N24</f>
        <v>96</v>
      </c>
      <c r="O25" s="1"/>
      <c r="P25" s="1"/>
      <c r="Q25" s="1"/>
      <c r="R25" s="1"/>
      <c r="S25" s="1"/>
      <c r="T25" s="1"/>
      <c r="U25" s="1"/>
      <c r="V25" s="1"/>
      <c r="W25" s="1"/>
      <c r="X25" s="1"/>
      <c r="Y25" s="1"/>
      <c r="Z25" s="1"/>
    </row>
    <row r="26" spans="1:26" ht="15" customHeight="1">
      <c r="A26" s="1"/>
      <c r="B26" s="1"/>
      <c r="C26" s="1"/>
      <c r="D26" s="1"/>
      <c r="E26" s="1"/>
      <c r="F26" s="1"/>
      <c r="G26" s="1"/>
      <c r="H26" s="1"/>
      <c r="I26" s="1"/>
      <c r="J26" s="1"/>
      <c r="K26" s="1"/>
      <c r="L26" s="1"/>
      <c r="M26" s="109" t="s">
        <v>294</v>
      </c>
      <c r="N26" s="113">
        <v>8</v>
      </c>
      <c r="O26" s="1"/>
      <c r="P26" s="1"/>
      <c r="Q26" s="1"/>
      <c r="R26" s="1"/>
      <c r="S26" s="1"/>
      <c r="T26" s="1"/>
      <c r="U26" s="1"/>
      <c r="V26" s="1"/>
      <c r="W26" s="1"/>
      <c r="X26" s="1"/>
      <c r="Y26" s="1"/>
      <c r="Z26" s="1"/>
    </row>
    <row r="27" spans="1:26" ht="21" customHeight="1">
      <c r="A27" s="1"/>
      <c r="B27" s="1"/>
      <c r="C27" s="1"/>
      <c r="D27" s="1"/>
      <c r="E27" s="1"/>
      <c r="F27" s="1"/>
      <c r="G27" s="1"/>
      <c r="H27" s="1"/>
      <c r="I27" s="1"/>
      <c r="J27" s="1"/>
      <c r="K27" s="1"/>
      <c r="L27" s="1"/>
      <c r="M27" s="114" t="s">
        <v>296</v>
      </c>
      <c r="N27" s="115">
        <f>N25*N26</f>
        <v>768</v>
      </c>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59" t="s">
        <v>297</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59" t="s">
        <v>298</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59" t="s">
        <v>299</v>
      </c>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59" t="s">
        <v>300</v>
      </c>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59" t="s">
        <v>301</v>
      </c>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59" t="s">
        <v>303</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59" t="s">
        <v>305</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59" t="s">
        <v>306</v>
      </c>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9" workbookViewId="0">
      <selection sqref="A1:N1"/>
    </sheetView>
  </sheetViews>
  <sheetFormatPr defaultColWidth="12.59765625" defaultRowHeight="15" customHeight="1"/>
  <cols>
    <col min="1" max="1" width="45.5" customWidth="1"/>
    <col min="2" max="2" width="12.59765625" customWidth="1"/>
    <col min="3" max="3" width="12.69921875" customWidth="1"/>
    <col min="4" max="4" width="1.09765625" customWidth="1"/>
    <col min="5" max="5" width="24.8984375" customWidth="1"/>
    <col min="6" max="6" width="6.69921875" customWidth="1"/>
    <col min="7" max="7" width="7" customWidth="1"/>
    <col min="8" max="8" width="6.5" customWidth="1"/>
    <col min="9" max="9" width="7" customWidth="1"/>
    <col min="10" max="10" width="10.09765625" customWidth="1"/>
    <col min="11" max="11" width="7" customWidth="1"/>
    <col min="12" max="12" width="7.59765625" customWidth="1"/>
    <col min="13" max="13" width="7" customWidth="1"/>
    <col min="14" max="14" width="19.09765625" customWidth="1"/>
    <col min="15" max="26" width="8.59765625" customWidth="1"/>
  </cols>
  <sheetData>
    <row r="1" spans="1:26" ht="21" customHeight="1">
      <c r="A1" s="155" t="s">
        <v>1</v>
      </c>
      <c r="B1" s="120"/>
      <c r="C1" s="120"/>
      <c r="D1" s="120"/>
      <c r="E1" s="120"/>
      <c r="F1" s="120"/>
      <c r="G1" s="120"/>
      <c r="H1" s="120"/>
      <c r="I1" s="120"/>
      <c r="J1" s="120"/>
      <c r="K1" s="120"/>
      <c r="L1" s="120"/>
      <c r="M1" s="120"/>
      <c r="N1" s="121"/>
      <c r="O1" s="1"/>
      <c r="P1" s="1"/>
      <c r="Q1" s="1"/>
      <c r="R1" s="1"/>
      <c r="S1" s="1"/>
      <c r="T1" s="1"/>
      <c r="U1" s="1"/>
      <c r="V1" s="1"/>
      <c r="W1" s="1"/>
      <c r="X1" s="1"/>
      <c r="Y1" s="1"/>
      <c r="Z1" s="1"/>
    </row>
    <row r="2" spans="1:26" ht="7.5" customHeight="1">
      <c r="A2" s="1"/>
      <c r="B2" s="2"/>
      <c r="C2" s="1"/>
      <c r="D2" s="1"/>
      <c r="E2" s="1"/>
      <c r="F2" s="1"/>
      <c r="G2" s="1"/>
      <c r="H2" s="1"/>
      <c r="I2" s="1"/>
      <c r="J2" s="1"/>
      <c r="K2" s="1"/>
      <c r="L2" s="1"/>
      <c r="M2" s="1"/>
      <c r="N2" s="1"/>
      <c r="O2" s="1"/>
      <c r="P2" s="1"/>
      <c r="Q2" s="1"/>
      <c r="R2" s="1"/>
      <c r="S2" s="1"/>
      <c r="T2" s="1"/>
      <c r="U2" s="1"/>
      <c r="V2" s="1"/>
      <c r="W2" s="1"/>
      <c r="X2" s="1"/>
      <c r="Y2" s="1"/>
      <c r="Z2" s="1"/>
    </row>
    <row r="3" spans="1:26" ht="18.75" customHeight="1">
      <c r="A3" s="160" t="s">
        <v>5</v>
      </c>
      <c r="B3" s="117"/>
      <c r="C3" s="118"/>
      <c r="D3" s="1"/>
      <c r="E3" s="160" t="s">
        <v>230</v>
      </c>
      <c r="F3" s="117"/>
      <c r="G3" s="117"/>
      <c r="H3" s="117"/>
      <c r="I3" s="117"/>
      <c r="J3" s="117"/>
      <c r="K3" s="117"/>
      <c r="L3" s="117"/>
      <c r="M3" s="117"/>
      <c r="N3" s="118"/>
      <c r="O3" s="1"/>
      <c r="P3" s="1"/>
      <c r="Q3" s="1"/>
      <c r="R3" s="1"/>
      <c r="S3" s="1"/>
      <c r="T3" s="1"/>
      <c r="U3" s="1"/>
      <c r="V3" s="1"/>
      <c r="W3" s="1"/>
      <c r="X3" s="1"/>
      <c r="Y3" s="1"/>
      <c r="Z3" s="1"/>
    </row>
    <row r="4" spans="1:26" ht="15" customHeight="1">
      <c r="A4" s="88" t="s">
        <v>233</v>
      </c>
      <c r="B4" s="89">
        <f>'#Estimativa-APF#'!$N$27</f>
        <v>768</v>
      </c>
      <c r="C4" s="15" t="s">
        <v>25</v>
      </c>
      <c r="D4" s="1"/>
      <c r="E4" s="162" t="s">
        <v>235</v>
      </c>
      <c r="F4" s="161" t="s">
        <v>40</v>
      </c>
      <c r="G4" s="121"/>
      <c r="H4" s="161" t="s">
        <v>83</v>
      </c>
      <c r="I4" s="121"/>
      <c r="J4" s="161" t="s">
        <v>93</v>
      </c>
      <c r="K4" s="121"/>
      <c r="L4" s="161" t="s">
        <v>112</v>
      </c>
      <c r="M4" s="121"/>
      <c r="N4" s="90"/>
      <c r="O4" s="1"/>
      <c r="P4" s="1"/>
      <c r="Q4" s="1"/>
      <c r="R4" s="1"/>
      <c r="S4" s="1"/>
      <c r="T4" s="1"/>
      <c r="U4" s="1"/>
      <c r="V4" s="1"/>
      <c r="W4" s="1"/>
      <c r="X4" s="1"/>
      <c r="Y4" s="1"/>
      <c r="Z4" s="1"/>
    </row>
    <row r="5" spans="1:26" ht="18.75" customHeight="1">
      <c r="A5" s="11" t="s">
        <v>26</v>
      </c>
      <c r="B5" s="13">
        <v>0</v>
      </c>
      <c r="C5" s="46" t="s">
        <v>239</v>
      </c>
      <c r="D5" s="1"/>
      <c r="E5" s="163"/>
      <c r="F5" s="161" t="s">
        <v>42</v>
      </c>
      <c r="G5" s="121"/>
      <c r="H5" s="161" t="s">
        <v>42</v>
      </c>
      <c r="I5" s="121"/>
      <c r="J5" s="161" t="s">
        <v>42</v>
      </c>
      <c r="K5" s="121"/>
      <c r="L5" s="161" t="s">
        <v>42</v>
      </c>
      <c r="M5" s="121"/>
      <c r="N5" s="49" t="s">
        <v>240</v>
      </c>
      <c r="O5" s="1"/>
      <c r="P5" s="1"/>
      <c r="Q5" s="1"/>
      <c r="R5" s="1"/>
      <c r="S5" s="1"/>
      <c r="T5" s="1"/>
      <c r="U5" s="1"/>
      <c r="V5" s="1"/>
      <c r="W5" s="1"/>
      <c r="X5" s="1"/>
      <c r="Y5" s="1"/>
      <c r="Z5" s="1"/>
    </row>
    <row r="6" spans="1:26" ht="15" customHeight="1">
      <c r="A6" s="91" t="s">
        <v>241</v>
      </c>
      <c r="B6" s="92">
        <f>B4+(B4*B5)</f>
        <v>768</v>
      </c>
      <c r="C6" s="46" t="s">
        <v>25</v>
      </c>
      <c r="D6" s="1"/>
      <c r="E6" s="150"/>
      <c r="F6" s="93">
        <f>B6*G6</f>
        <v>38.400000000000006</v>
      </c>
      <c r="G6" s="13">
        <v>0.05</v>
      </c>
      <c r="H6" s="93">
        <f>B4*I6</f>
        <v>153.60000000000002</v>
      </c>
      <c r="I6" s="13">
        <v>0.2</v>
      </c>
      <c r="J6" s="93">
        <f>B4*K6</f>
        <v>499.20000000000005</v>
      </c>
      <c r="K6" s="13">
        <v>0.65</v>
      </c>
      <c r="L6" s="93">
        <f>B4*M6</f>
        <v>76.800000000000011</v>
      </c>
      <c r="M6" s="13">
        <v>0.1</v>
      </c>
      <c r="N6" s="93"/>
      <c r="O6" s="1"/>
      <c r="P6" s="1"/>
      <c r="Q6" s="1"/>
      <c r="R6" s="1"/>
      <c r="S6" s="1"/>
      <c r="T6" s="1"/>
      <c r="U6" s="1"/>
      <c r="V6" s="1"/>
      <c r="W6" s="1"/>
      <c r="X6" s="1"/>
      <c r="Y6" s="1"/>
      <c r="Z6" s="1"/>
    </row>
    <row r="7" spans="1:26" ht="15.75" customHeight="1">
      <c r="A7" s="15" t="s">
        <v>250</v>
      </c>
      <c r="B7" s="17">
        <v>4</v>
      </c>
      <c r="C7" s="15"/>
      <c r="D7" s="1"/>
      <c r="E7" s="94" t="s">
        <v>251</v>
      </c>
      <c r="F7" s="93">
        <f>F6*G7</f>
        <v>21.120000000000005</v>
      </c>
      <c r="G7" s="13">
        <v>0.55000000000000004</v>
      </c>
      <c r="H7" s="93">
        <f>H6*I7</f>
        <v>46.080000000000005</v>
      </c>
      <c r="I7" s="13">
        <v>0.3</v>
      </c>
      <c r="J7" s="93">
        <f>J6*K7</f>
        <v>59.904000000000003</v>
      </c>
      <c r="K7" s="13">
        <v>0.12</v>
      </c>
      <c r="L7" s="93">
        <f>L6*M7</f>
        <v>3.8400000000000007</v>
      </c>
      <c r="M7" s="13">
        <v>0.05</v>
      </c>
      <c r="N7" s="95">
        <f t="shared" ref="N7:N11" si="0">SUM(F7,H7,J7,L7)</f>
        <v>130.94400000000002</v>
      </c>
      <c r="O7" s="1"/>
      <c r="P7" s="1"/>
      <c r="Q7" s="1"/>
      <c r="R7" s="1"/>
      <c r="S7" s="1"/>
      <c r="T7" s="1"/>
      <c r="U7" s="1"/>
      <c r="V7" s="1"/>
      <c r="W7" s="1"/>
      <c r="X7" s="1"/>
      <c r="Y7" s="1"/>
      <c r="Z7" s="1"/>
    </row>
    <row r="8" spans="1:26" ht="15.75" customHeight="1">
      <c r="A8" s="15" t="s">
        <v>256</v>
      </c>
      <c r="B8" s="17">
        <v>8</v>
      </c>
      <c r="C8" s="15" t="s">
        <v>38</v>
      </c>
      <c r="D8" s="1"/>
      <c r="E8" s="94" t="s">
        <v>257</v>
      </c>
      <c r="F8" s="93">
        <f>F6*G8</f>
        <v>5.7600000000000007</v>
      </c>
      <c r="G8" s="13">
        <v>0.15</v>
      </c>
      <c r="H8" s="93">
        <f>H6*I8</f>
        <v>30.720000000000006</v>
      </c>
      <c r="I8" s="13">
        <v>0.2</v>
      </c>
      <c r="J8" s="93">
        <f>J6*K8</f>
        <v>49.920000000000009</v>
      </c>
      <c r="K8" s="13">
        <v>0.1</v>
      </c>
      <c r="L8" s="93">
        <f>L6*M8</f>
        <v>3.8400000000000007</v>
      </c>
      <c r="M8" s="13">
        <v>0.05</v>
      </c>
      <c r="N8" s="95">
        <f t="shared" si="0"/>
        <v>90.240000000000009</v>
      </c>
      <c r="O8" s="1"/>
      <c r="P8" s="1"/>
      <c r="Q8" s="1"/>
      <c r="R8" s="1"/>
      <c r="S8" s="1"/>
      <c r="T8" s="1"/>
      <c r="U8" s="1"/>
      <c r="V8" s="1"/>
      <c r="W8" s="1"/>
      <c r="X8" s="1"/>
      <c r="Y8" s="1"/>
      <c r="Z8" s="1"/>
    </row>
    <row r="9" spans="1:26" ht="15.75" customHeight="1">
      <c r="A9" s="15" t="s">
        <v>259</v>
      </c>
      <c r="B9" s="17">
        <v>2</v>
      </c>
      <c r="C9" s="15" t="s">
        <v>63</v>
      </c>
      <c r="D9" s="1"/>
      <c r="E9" s="94" t="s">
        <v>260</v>
      </c>
      <c r="F9" s="93">
        <f>F6*G9</f>
        <v>0.76800000000000013</v>
      </c>
      <c r="G9" s="13">
        <v>0.02</v>
      </c>
      <c r="H9" s="93">
        <f>H6*I9</f>
        <v>30.720000000000006</v>
      </c>
      <c r="I9" s="13">
        <v>0.2</v>
      </c>
      <c r="J9" s="93">
        <f>J6*K9</f>
        <v>199.68000000000004</v>
      </c>
      <c r="K9" s="13">
        <v>0.4</v>
      </c>
      <c r="L9" s="93">
        <f>L6*M9</f>
        <v>11.520000000000001</v>
      </c>
      <c r="M9" s="13">
        <v>0.15</v>
      </c>
      <c r="N9" s="95">
        <f t="shared" si="0"/>
        <v>242.68800000000005</v>
      </c>
      <c r="O9" s="1"/>
      <c r="P9" s="1"/>
      <c r="Q9" s="1"/>
      <c r="R9" s="1"/>
      <c r="S9" s="1"/>
      <c r="T9" s="1"/>
      <c r="U9" s="1"/>
      <c r="V9" s="1"/>
      <c r="W9" s="1"/>
      <c r="X9" s="1"/>
      <c r="Y9" s="1"/>
      <c r="Z9" s="1"/>
    </row>
    <row r="10" spans="1:26" ht="15.75" customHeight="1">
      <c r="A10" s="96" t="s">
        <v>262</v>
      </c>
      <c r="B10" s="97">
        <f>(B7*B8)*B9</f>
        <v>64</v>
      </c>
      <c r="C10" s="96" t="s">
        <v>25</v>
      </c>
      <c r="D10" s="1"/>
      <c r="E10" s="94" t="s">
        <v>265</v>
      </c>
      <c r="F10" s="93">
        <f>F6*G10</f>
        <v>1.9200000000000004</v>
      </c>
      <c r="G10" s="13">
        <v>0.05</v>
      </c>
      <c r="H10" s="93">
        <f>H6*I10</f>
        <v>12.288000000000002</v>
      </c>
      <c r="I10" s="13">
        <v>0.08</v>
      </c>
      <c r="J10" s="93">
        <f>J6*K10</f>
        <v>49.920000000000009</v>
      </c>
      <c r="K10" s="13">
        <v>0.1</v>
      </c>
      <c r="L10" s="93">
        <f>L6*M10</f>
        <v>7.6800000000000015</v>
      </c>
      <c r="M10" s="13">
        <v>0.1</v>
      </c>
      <c r="N10" s="95">
        <f t="shared" si="0"/>
        <v>71.808000000000021</v>
      </c>
      <c r="O10" s="1"/>
      <c r="P10" s="1"/>
      <c r="Q10" s="1"/>
      <c r="R10" s="1"/>
      <c r="S10" s="1"/>
      <c r="T10" s="1"/>
      <c r="U10" s="1"/>
      <c r="V10" s="1"/>
      <c r="W10" s="1"/>
      <c r="X10" s="1"/>
      <c r="Y10" s="1"/>
      <c r="Z10" s="1"/>
    </row>
    <row r="11" spans="1:26" ht="15.75" customHeight="1">
      <c r="A11" s="88" t="s">
        <v>266</v>
      </c>
      <c r="B11" s="98">
        <f>B6/B10*2</f>
        <v>24</v>
      </c>
      <c r="C11" s="88" t="s">
        <v>63</v>
      </c>
      <c r="D11" s="1"/>
      <c r="E11" s="94" t="s">
        <v>267</v>
      </c>
      <c r="F11" s="93">
        <f>F6*G11</f>
        <v>0</v>
      </c>
      <c r="G11" s="13">
        <v>0</v>
      </c>
      <c r="H11" s="93">
        <f>H6*I11</f>
        <v>3.0720000000000005</v>
      </c>
      <c r="I11" s="13">
        <v>0.02</v>
      </c>
      <c r="J11" s="93">
        <f>J6*K11</f>
        <v>24.960000000000004</v>
      </c>
      <c r="K11" s="13">
        <v>0.05</v>
      </c>
      <c r="L11" s="93">
        <f>L6*M11</f>
        <v>7.6800000000000015</v>
      </c>
      <c r="M11" s="13">
        <v>0.1</v>
      </c>
      <c r="N11" s="95">
        <f t="shared" si="0"/>
        <v>35.712000000000003</v>
      </c>
      <c r="O11" s="1"/>
      <c r="P11" s="1"/>
      <c r="Q11" s="1"/>
      <c r="R11" s="1"/>
      <c r="S11" s="1"/>
      <c r="T11" s="1"/>
      <c r="U11" s="1"/>
      <c r="V11" s="1"/>
      <c r="W11" s="1"/>
      <c r="X11" s="1"/>
      <c r="Y11" s="1"/>
      <c r="Z11" s="1"/>
    </row>
    <row r="12" spans="1:26" ht="15" customHeight="1">
      <c r="A12" s="88" t="s">
        <v>268</v>
      </c>
      <c r="B12" s="98">
        <f>B11/4</f>
        <v>6</v>
      </c>
      <c r="C12" s="88" t="s">
        <v>66</v>
      </c>
      <c r="D12" s="1"/>
      <c r="E12" s="100" t="s">
        <v>269</v>
      </c>
      <c r="F12" s="101">
        <f t="shared" ref="F12:M12" si="1">SUM(F7:F11)</f>
        <v>29.568000000000008</v>
      </c>
      <c r="G12" s="102">
        <f t="shared" si="1"/>
        <v>0.77000000000000013</v>
      </c>
      <c r="H12" s="101">
        <f t="shared" si="1"/>
        <v>122.88000000000001</v>
      </c>
      <c r="I12" s="102">
        <f t="shared" si="1"/>
        <v>0.79999999999999993</v>
      </c>
      <c r="J12" s="101">
        <f t="shared" si="1"/>
        <v>384.38400000000001</v>
      </c>
      <c r="K12" s="102">
        <f t="shared" si="1"/>
        <v>0.77</v>
      </c>
      <c r="L12" s="101">
        <f t="shared" si="1"/>
        <v>34.56</v>
      </c>
      <c r="M12" s="102">
        <f t="shared" si="1"/>
        <v>0.44999999999999996</v>
      </c>
      <c r="N12" s="100"/>
      <c r="O12" s="1"/>
      <c r="P12" s="1"/>
      <c r="Q12" s="1"/>
      <c r="R12" s="1"/>
      <c r="S12" s="1"/>
      <c r="T12" s="1"/>
      <c r="U12" s="1"/>
      <c r="V12" s="1"/>
      <c r="W12" s="1"/>
      <c r="X12" s="1"/>
      <c r="Y12" s="1"/>
      <c r="Z12" s="1"/>
    </row>
    <row r="13" spans="1:26" ht="15.75" customHeight="1">
      <c r="A13" s="96" t="s">
        <v>272</v>
      </c>
      <c r="B13" s="103">
        <f>B11/B9</f>
        <v>12</v>
      </c>
      <c r="C13" s="96" t="s">
        <v>273</v>
      </c>
      <c r="D13" s="1"/>
      <c r="E13" s="94" t="s">
        <v>274</v>
      </c>
      <c r="F13" s="93">
        <f>F6*G13</f>
        <v>1.1520000000000001</v>
      </c>
      <c r="G13" s="13">
        <v>0.03</v>
      </c>
      <c r="H13" s="93">
        <f>H6*I13</f>
        <v>12.288000000000002</v>
      </c>
      <c r="I13" s="13">
        <v>0.08</v>
      </c>
      <c r="J13" s="93">
        <f>J6*K13</f>
        <v>64.896000000000015</v>
      </c>
      <c r="K13" s="13">
        <v>0.13</v>
      </c>
      <c r="L13" s="93">
        <f>L6*M13</f>
        <v>23.040000000000003</v>
      </c>
      <c r="M13" s="13">
        <v>0.3</v>
      </c>
      <c r="N13" s="95">
        <f t="shared" ref="N13:N14" si="2">SUM(F13,H13,J13,L13)</f>
        <v>101.37600000000002</v>
      </c>
      <c r="O13" s="1"/>
      <c r="P13" s="1"/>
      <c r="Q13" s="1"/>
      <c r="R13" s="1"/>
      <c r="S13" s="1"/>
      <c r="T13" s="1"/>
      <c r="U13" s="1"/>
      <c r="V13" s="1"/>
      <c r="W13" s="1"/>
      <c r="X13" s="1"/>
      <c r="Y13" s="1"/>
      <c r="Z13" s="1"/>
    </row>
    <row r="14" spans="1:26" ht="15.75" customHeight="1">
      <c r="A14" s="1"/>
      <c r="B14" s="2"/>
      <c r="C14" s="1"/>
      <c r="D14" s="1"/>
      <c r="E14" s="94" t="s">
        <v>277</v>
      </c>
      <c r="F14" s="93">
        <f>F6*G14</f>
        <v>7.6800000000000015</v>
      </c>
      <c r="G14" s="13">
        <v>0.2</v>
      </c>
      <c r="H14" s="93">
        <f>H6*I14</f>
        <v>18.432000000000002</v>
      </c>
      <c r="I14" s="13">
        <v>0.12</v>
      </c>
      <c r="J14" s="93">
        <f>J6*K14</f>
        <v>49.920000000000009</v>
      </c>
      <c r="K14" s="13">
        <v>0.1</v>
      </c>
      <c r="L14" s="93">
        <f>L6*M14</f>
        <v>19.200000000000003</v>
      </c>
      <c r="M14" s="13">
        <v>0.25</v>
      </c>
      <c r="N14" s="95">
        <f t="shared" si="2"/>
        <v>95.232000000000014</v>
      </c>
      <c r="O14" s="1"/>
      <c r="P14" s="1"/>
      <c r="Q14" s="1"/>
      <c r="R14" s="1"/>
      <c r="S14" s="1"/>
      <c r="T14" s="1"/>
      <c r="U14" s="1"/>
      <c r="V14" s="1"/>
      <c r="W14" s="1"/>
      <c r="X14" s="1"/>
      <c r="Y14" s="1"/>
      <c r="Z14" s="1"/>
    </row>
    <row r="15" spans="1:26" ht="15" customHeight="1">
      <c r="A15" s="1"/>
      <c r="B15" s="2"/>
      <c r="C15" s="1"/>
      <c r="D15" s="1"/>
      <c r="E15" s="100" t="s">
        <v>280</v>
      </c>
      <c r="F15" s="101">
        <f t="shared" ref="F15:M15" si="3">SUM(F13:F14)</f>
        <v>8.8320000000000007</v>
      </c>
      <c r="G15" s="102">
        <f t="shared" si="3"/>
        <v>0.23</v>
      </c>
      <c r="H15" s="101">
        <f t="shared" si="3"/>
        <v>30.720000000000006</v>
      </c>
      <c r="I15" s="102">
        <f t="shared" si="3"/>
        <v>0.2</v>
      </c>
      <c r="J15" s="101">
        <f t="shared" si="3"/>
        <v>114.81600000000003</v>
      </c>
      <c r="K15" s="102">
        <f t="shared" si="3"/>
        <v>0.23</v>
      </c>
      <c r="L15" s="101">
        <f t="shared" si="3"/>
        <v>42.240000000000009</v>
      </c>
      <c r="M15" s="102">
        <f t="shared" si="3"/>
        <v>0.55000000000000004</v>
      </c>
      <c r="N15" s="100"/>
      <c r="O15" s="1"/>
      <c r="P15" s="1"/>
      <c r="Q15" s="1"/>
      <c r="R15" s="1"/>
      <c r="S15" s="1"/>
      <c r="T15" s="1"/>
      <c r="U15" s="1"/>
      <c r="V15" s="1"/>
      <c r="W15" s="1"/>
      <c r="X15" s="1"/>
      <c r="Y15" s="1"/>
      <c r="Z15" s="1"/>
    </row>
    <row r="16" spans="1:26" ht="18.75" customHeight="1">
      <c r="A16" s="160" t="s">
        <v>67</v>
      </c>
      <c r="B16" s="117"/>
      <c r="C16" s="118"/>
      <c r="D16" s="1"/>
      <c r="E16" s="49" t="s">
        <v>282</v>
      </c>
      <c r="F16" s="104">
        <f t="shared" ref="F16:M16" si="4">F12+F15</f>
        <v>38.400000000000006</v>
      </c>
      <c r="G16" s="105">
        <f t="shared" si="4"/>
        <v>1.0000000000000002</v>
      </c>
      <c r="H16" s="104">
        <f t="shared" si="4"/>
        <v>153.60000000000002</v>
      </c>
      <c r="I16" s="105">
        <f t="shared" si="4"/>
        <v>1</v>
      </c>
      <c r="J16" s="104">
        <f t="shared" si="4"/>
        <v>499.20000000000005</v>
      </c>
      <c r="K16" s="105">
        <f t="shared" si="4"/>
        <v>1</v>
      </c>
      <c r="L16" s="104">
        <f t="shared" si="4"/>
        <v>76.800000000000011</v>
      </c>
      <c r="M16" s="105">
        <f t="shared" si="4"/>
        <v>1</v>
      </c>
      <c r="N16" s="107">
        <f>SUM(N7:N11,N13,N14)</f>
        <v>768</v>
      </c>
      <c r="O16" s="1"/>
      <c r="P16" s="1"/>
      <c r="Q16" s="1"/>
      <c r="R16" s="1"/>
      <c r="S16" s="1"/>
      <c r="T16" s="1"/>
      <c r="U16" s="1"/>
      <c r="V16" s="1"/>
      <c r="W16" s="1"/>
      <c r="X16" s="1"/>
      <c r="Y16" s="1"/>
      <c r="Z16" s="1"/>
    </row>
    <row r="17" spans="1:26" ht="15" customHeight="1">
      <c r="A17" s="15" t="s">
        <v>68</v>
      </c>
      <c r="B17" s="108">
        <v>0</v>
      </c>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c r="A18" s="15" t="s">
        <v>72</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c r="A19" s="15" t="s">
        <v>77</v>
      </c>
      <c r="B19" s="13">
        <v>0</v>
      </c>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c r="A20" s="15" t="s">
        <v>78</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c r="A21" s="5" t="s">
        <v>291</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c r="A22" s="15" t="s">
        <v>89</v>
      </c>
      <c r="B22" s="13">
        <v>0</v>
      </c>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c r="A23" s="15" t="s">
        <v>90</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5" t="s">
        <v>295</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c r="A27" s="59" t="s">
        <v>302</v>
      </c>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c r="A28" s="59" t="s">
        <v>304</v>
      </c>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Henrique Marangoni</cp:lastModifiedBy>
  <dcterms:modified xsi:type="dcterms:W3CDTF">2026-09-15T12:56:38Z</dcterms:modified>
</cp:coreProperties>
</file>