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A615BDFF-FF6E-41BA-8777-E32425154A26}" xr6:coauthVersionLast="47" xr6:coauthVersionMax="47" xr10:uidLastSave="{00000000-0000-0000-0000-000000000000}"/>
  <bookViews>
    <workbookView xWindow="-108" yWindow="-108" windowWidth="23256" windowHeight="12456" tabRatio="666" activeTab="2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O37" i="8" s="1"/>
  <c r="G42" i="4"/>
  <c r="J31" i="4"/>
  <c r="I31" i="4"/>
  <c r="H31" i="4"/>
  <c r="P35" i="8" s="1"/>
  <c r="G29" i="4"/>
  <c r="J29" i="4"/>
  <c r="I29" i="4"/>
  <c r="H29" i="4"/>
  <c r="O34" i="8" s="1"/>
  <c r="J26" i="4"/>
  <c r="I26" i="4"/>
  <c r="H26" i="4"/>
  <c r="G26" i="4"/>
  <c r="N33" i="8" s="1"/>
  <c r="J23" i="4"/>
  <c r="I23" i="4"/>
  <c r="H23" i="4"/>
  <c r="G23" i="4"/>
  <c r="N32" i="8" s="1"/>
  <c r="J18" i="4"/>
  <c r="I18" i="4"/>
  <c r="H18" i="4"/>
  <c r="G18" i="4"/>
  <c r="N31" i="8" s="1"/>
  <c r="J10" i="4"/>
  <c r="I10" i="4"/>
  <c r="H10" i="4"/>
  <c r="G10" i="4"/>
  <c r="J16" i="4"/>
  <c r="I16" i="4"/>
  <c r="H16" i="4"/>
  <c r="G16" i="4"/>
  <c r="N30" i="8" s="1"/>
  <c r="Q29" i="8"/>
  <c r="P29" i="8"/>
  <c r="O29" i="8"/>
  <c r="N29" i="8"/>
  <c r="J14" i="4"/>
  <c r="I14" i="4"/>
  <c r="H14" i="4"/>
  <c r="G14" i="4"/>
  <c r="N28" i="8" s="1"/>
  <c r="J8" i="4"/>
  <c r="I8" i="4"/>
  <c r="H8" i="4"/>
  <c r="G8" i="4"/>
  <c r="H6" i="4"/>
  <c r="J6" i="4"/>
  <c r="I6" i="4"/>
  <c r="G6" i="4"/>
  <c r="P25" i="8" s="1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N27" i="8" l="1"/>
  <c r="P36" i="8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<sst xmlns="http://schemas.openxmlformats.org/spreadsheetml/2006/main" count="358" uniqueCount="157">
  <si>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</si>
  <si>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</si>
  <si>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</si>
  <si>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</si>
  <si>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</si>
  <si>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</si>
  <si>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</si>
  <si>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</si>
  <si>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</si>
  <si>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</si>
  <si>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</si>
  <si>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</si>
  <si>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</si>
  <si>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</si>
  <si>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</si>
  <si>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</si>
  <si>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</si>
  <si>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</si>
  <si>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</si>
  <si>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</si>
  <si>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</si>
  <si>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</si>
  <si>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</si>
  <si>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</si>
  <si>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</si>
  <si>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</si>
  <si>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</si>
  <si>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</si>
  <si>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</si>
  <si>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</si>
  <si>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</si>
  <si>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</si>
  <si>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</si>
  <si>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</si>
  <si>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</si>
  <si>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</si>
  <si>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</si>
  <si>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</si>
  <si>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</si>
  <si>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</si>
  <si>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</si>
  <si>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</si>
  <si>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</si>
  <si>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</si>
  <si>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</si>
  <si>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</si>
  <si>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</si>
  <si>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</si>
  <si>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</si>
  <si>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</si>
  <si>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</si>
  <si>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</si>
  <si>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</si>
  <si>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</si>
  <si>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</si>
  <si>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</si>
  <si>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</si>
  <si>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</si>
  <si>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</si>
  <si>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</si>
  <si>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</si>
  <si>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</si>
  <si>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</si>
  <si>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</si>
  <si>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</si>
  <si>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</si>
  <si>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</si>
  <si>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</si>
  <si>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</si>
  <si>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</si>
  <si>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</si>
  <si>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</si>
  <si>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</si>
  <si>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</si>
  <si>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</si>
  <si>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</si>
  <si>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</si>
  <si>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</si>
  <si>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</si>
  <si>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</si>
  <si>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</si>
  <si>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</si>
  <si>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</si>
  <si>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</si>
  <si>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</si>
  <si>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</si>
  <si>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</si>
  <si>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</si>
  <si>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</si>
  <si>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</si>
  <si>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</si>
  <si>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</si>
  <si>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</si>
  <si>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</si>
  <si>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</si>
  <si>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</si>
  <si>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</si>
  <si>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</si>
  <si>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</si>
  <si>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</si>
  <si>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</si>
  <si>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</si>
  <si>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</si>
  <si>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</si>
  <si>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</si>
  <si>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</si>
  <si>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</si>
  <si>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</si>
  <si>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</si>
  <si>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</si>
  <si>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</si>
  <si>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</si>
  <si>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</si>
  <si>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</si>
  <si>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31/08/2026</t>
  </si>
  <si>
    <t>Henrique de Almeida Marangoni Inacio (Scrum Master)</t>
  </si>
  <si>
    <t>Sim</t>
  </si>
  <si>
    <t>Boa prática: templates de issue e de Pull Request versionados em .github/ (template-feature, template-bugfix, template-refactor e pull_request_template), cobrindo documentos de controle de mudanças não previstos no SpinOff.</t>
  </si>
  <si>
    <t>Boa prática: o Visão é mantido em Markdown versionável e o .docx é gerado a partir do Template - Visão.dotx como reference-doc, o que preserva o estilo oficial e mantém o diff revisável em Pull Request. Artefato em 1.Requisitos/, na versão 3.0.</t>
  </si>
  <si>
    <t>A seção 1.2 traz o objetivo separado por ator, e a seção 2 traz seis problemas no formato Problema / Afetados / Impacto / Necessidades. Boa prática: a seção 4.4 registra explicitamente o que o sistema não resolve e o que seria necessário para resolver, deixando a limitação assumida em vez de omitida.</t>
  </si>
  <si>
    <t>Todas as necessidades das seções 2.1 a 2.6 estão no formato “Como &lt;ator&gt;, eu quero &lt;funcionalidade&gt;, de modo que &lt;benefício&gt;”, e cada uma é rastreada até um caso de uso na seção 6 do Modelo de Caso de Uso.</t>
  </si>
  <si>
    <t>Seções 1.1 e 1.2 do Visão. Boa prática: a subseção “Por que não há agendamento” registra a decisão de escopo e o motivo técnico dela, evitando que a discussão retorne.</t>
  </si>
  <si>
    <t>Dezesseis restrições (RE-01 a RE-16) separadas em tecnologia (4.1), escopo funcional (4.2) e projeto (4.3), incluindo prazo (RE-13) e ausência de orçamento com equipe em dedicação parcial (RE-14). Boa prática: cada risco da seção 5 aponta a restrição que o origina.</t>
  </si>
  <si>
    <t>Parcialmente</t>
  </si>
  <si>
    <t>O artefato está na pasta correta (2.Analise e Design/) e com a nomeação prevista, mas não foi produzido no template atual: o SpinOff prevê o Template - Modelos Analise e Design.asta (Astah) e os diagramas foram feitos em PlantUML (.puml, com .png e .svg gerados), acompanhados de um documento em Markdown.</t>
  </si>
  <si>
    <t>Transpor o Modelo de Caso de Uso para o Astah, a partir do .asta do SpinOff, mantendo os .puml como fonte de apoio.</t>
  </si>
  <si>
    <t>Boa prática: a seção 5 traz a matriz de permissões UC01-UC14 × Morador/Síndico e, na sequência, a tabela “Fronteiras que a matriz torna explícitas”, que justifica cada negativa de acesso em vez de apenas registrá-la.</t>
  </si>
  <si>
    <t>A seção 1 descreve os dois atores e a seção 4 descreve UC01 a UC14. Boa prática: a seção 6 rastreia cada caso de uso até a necessidade do Visão que o originou, e lista à parte os casos de uso sem origem direta, com a justificativa de existirem.</t>
  </si>
  <si>
    <t>NA</t>
  </si>
  <si>
    <t>Não se aplica: o protótipo das telas não foi produzido. Pelo SpinOff ele é saída da tarefa Detalhar Requisitos, da fase de Elaboração. A pasta 1.Requisitos/Prototipo/ já existe na estrutura do projeto, vazia, aguardando o artefato.</t>
  </si>
  <si>
    <t>Não</t>
  </si>
  <si>
    <t>Não há registro de aprovação do escopo pelo Product Owner. O escopo mudou duas vezes desde a v1.1 — v2.0 em 27/08/2026 (redução de SaaS para condomínio único) e v3.0 em 27/08/2026 (remoção do agendamento) — e a v3.0 do Visão e do Modelo de Caso de Uso ainda não foi submetida à aprovação. Risco RI-09 do Visão.</t>
  </si>
  <si>
    <t>Realizar a reunião de apresentação do escopo ao Product Owner e registrar a aprovação em Ata de Reunião (Template - Ata de Reunião.dotx), com “de acordo” por e-mail dos participantes, em 6.Gerenciamento de Projeto/Atas/.</t>
  </si>
  <si>
    <t>A História de Usuário está na pasta correta (1.Requisitos/Casos de Uso/) e com a nomeação prevista, e o conteúdo cobre os campos do Template - Historia de Usuario: caso de uso, número, estimativa, descrição no formato Como/eu quero/de modo que, e testes de aceitação com pré-condição, entradas e resultado esperado. Porém o artefato existe apenas em Markdown, sem a versão gerada a partir do .dotx oficial — ao contrário do Visão —, e o campo “Tem protótipo?” do template não foi contemplado.</t>
  </si>
  <si>
    <t>Gerar CARREGAJA - História de Usuário.docx a partir do Template - Historia de Usuario.dotx, pelo mesmo procedimento já usado no Visão, e incluir o campo “Tem protótipo?” em cada história.</t>
  </si>
  <si>
    <t>As catorze histórias trazem casos de teste com entradas e resultado esperado. Boa prática: todas usam um único cenário encadeado (Residencial Aroeira), em que os números de uma história alimentam a seguinte e os totais do fechamento somam as sessões registradas antes — o que torna as saídas conferíveis de ponta a ponta.</t>
  </si>
  <si>
    <t>O Glossário está na subseção 1.3 do Visão, que é onde o Template - Visão.dotx o posiciona, em 1.Requisitos/. O SpinOff não prevê template autônomo para o artefato.</t>
  </si>
  <si>
    <t>Vinte termos definidos, incluindo as unidades (kW e kWh) e as regras de negócio (Potência Efetiva, Energia Estimada). Boa prática: o glossário distingue explicitamente os termos vizinhos que seriam confundidos — Sessão Excedida (veículo ainda plugado) e Sessão Órfã (veículo já retirado).</t>
  </si>
  <si>
    <t>Não se aplica: não houve reunião de levantamento de requisitos a registrar. O projeto é acadêmico e não dispõe de cliente externo contratante (restrição RE-16 e seção 3.1 do Visão); as necessidades foram levantadas pela própria equipe a partir da análise do domínio.</t>
  </si>
  <si>
    <t>Não se aplica pelo mesmo motivo do item 16 — RE-16 do Visão. O Product Owner atua como representante do cliente apenas para efeito de aprovação de escopo e planejamento (itens 11 e 28), não como fonte externa de requisitos.</t>
  </si>
  <si>
    <t>Planilha gerada do Template - Planejamento e Controle do Projeto.xltx, armazenada em 6.Gerenciamento de Projeto/ com a nomeação prevista. Boa prática: as sete abas foram preenchidas, incluindo as duas de APF, e cada aba traz notas ao pé explicando os critérios adotados.</t>
  </si>
  <si>
    <t>Aba Equipe com os quatro integrantes, papel e e-mail institucional. Boa prática: Product Owner e Scrum Master são pessoas distintas, de modo que quem aprova o escopo e o planejamento não é quem os executa.</t>
  </si>
  <si>
    <t>Os catorze casos de uso aparecem no Backlog: UC03, UC04 e UC06 nas tarefas 11 e 14 da Elaboração (arquitetura executável) e os demais nas tarefas 18 a 29 da Construção. Boa prática: a nota ao pé explica por que UC04 e UC06 não têm tarefa isolada na Construção — são executados por inclusão, sem acesso direto de ator.</t>
  </si>
  <si>
    <t>Há estimativa em horas para todas as tarefas do Backlog e uma segunda estimativa por APF, mas a totalização está quebrada e os números não fecham entre si. As fórmulas de subtotal por fase e o total geral em Backlog_Produto!D42 foram apagados, de modo que Planejamento!B4 (esforço total estimado), B9 (número de sprints), B10 (esforço total) e B11 (prazo em semanas) resultam 0, e Entregas!E2 (Carga Horária Total) também resulta 0. A soma das horas lançadas é 384 h (537,6 h com a margem de 40%); a aba #Estimativa-APF# resulta em 768 h; e as notas da aba Entregas citam 728 h, valor que nenhuma das duas produz. As estimativas ainda são declaradas preliminares, pendentes do Planning Poker.</t>
  </si>
  <si>
    <t>Restaurar as fórmulas de subtotal por fase e o total geral em Backlog_Produto!D42; definir qual das duas estimativas é a oficial e corrigir as notas da aba Entregas para o valor efetivamente calculado; realizar o Planning Poker na Reunião de Planejamento do Projeto e substituir as estimativas preliminares.</t>
  </si>
  <si>
    <t>A priorização VRDC foi feita conforme o Guia do SpinOff, com Valor, Risco, Dependência e Complexidade Técnica de 0 a 10, mas cobre apenas onze dos catorze casos de uso: UC03 (Iniciar Sessão de Recarga), UC05 (Encerrar Sessão de Recarga) e UC07 (Manter Veículo) não têm linha no bloco de priorização, e a numeração da coluna Seq. pula 5, 7 e 9, indicando linhas perdidas.</t>
  </si>
  <si>
    <t>Incluir UC03, UC05 e UC07 no bloco de priorização VRDC e refazer a ordenação por prioridade. Convém notar que UC03 e UC05 são justamente as histórias centrais do Morador.</t>
  </si>
  <si>
    <t>O Plano de Entregas está definido e documentado: dez sprints de 17/08/2026 a 15/01/2027, cada um com produtos, datas previstas, horas, status e versão de Configuração Base. Não há, porém, correspondência com o número de sprints planejado, porque esse número não chega a ser calculado — Planejamento!B9 resulta 0 pela quebra descrita no item 24 — e a aba #Planejamento-APF# sugere doze sprints, contra os dez do plano.</t>
  </si>
  <si>
    <t>Corrigir a totalização do Backlog (item 24) e conciliar o número de sprints calculado com os dez sprints do Plano de Entregas, justificando no artefato a diferença que restar contra o prazo do semestre (RE-13).</t>
  </si>
  <si>
    <t>A aba Riscos está preenchida com nove riscos avaliados por probabilidade, impacto, perda esperada, situação, estratégia de resposta, plano de mitigação e plano de contingência, e considera restrições do Visão (RE-12, RE-13 e RE-14). Faltam, porém, dois dos onze riscos do Visão v3.0: RI-06 (indisponibilidade dos integrantes da equipe, decorrente de RE-14) e RI-09 (nova mudança de escopo). Além disso os identificadores foram renumerados, de modo que RI-06 a RI-09 da planilha não correspondem aos mesmos números no Visão, o que quebra a rastreabilidade entre os dois artefatos. A folga negativa de 104 h entre esforço ajustado e capacidade da equipe está registrada apenas como nota na aba Entregas, e não como risco.</t>
  </si>
  <si>
    <t>Transcrever os onze riscos do Visão preservando os identificadores originais, e acrescentar o risco de esforço acima da capacidade, hoje apenas anotado na aba Entregas.</t>
  </si>
  <si>
    <t>A Reunião de Planejamento do Projeto ainda não foi realizada e não há registro de aprovação do planejamento pelo Product Owner. A Planilha de Planejamento e Controle está preenchida, mas com estimativas preliminares, ainda sem Planning Poker.</t>
  </si>
  <si>
    <t>Realizar a Reunião de Planejamento do Projeto com o Planning Poker, submeter o planejamento ao Product Owner e registrar a aprovação em Ata de Reunião, em 6.Gerenciamento de Projeto/Atas/. Depende da correção dos itens 24 a 27.</t>
  </si>
  <si>
    <t>Estrutura criada a partir do Estrutura-Projeto.zip do SpinOff e sincronizada com o servidor (origin: github.com/AndreMoreira00/CarregaJA). Boa prática: o código fonte fica em submódulo próprio (3.Implementacao/CarregaJA_Implementacao), separando o versionamento do produto do versionamento dos artefatos de processo.</t>
  </si>
  <si>
    <t>Confere com o guia de mapeamento processo × produto: Visão e Glossário em 1.Requisitos/, História de Usuário em 1.Requisitos/Casos de Uso/, Modelo de Caso de Uso em 2.Analise e Design/, Planilha de PCP e este Checklist em 6.Gerenciamento de Projeto/. Ponto de atenção: há uma cópia solta do template, “Template - Checklist Verificacao de Projeto(1).xltx”, dentro de 6.Gerenciamento de Projeto/, ainda não versionada — convém removê-la para não ser confundida com artefato do projeto.</t>
  </si>
  <si>
    <t>Todos os artefatos seguem o padrão “CARREGAJA - &lt;Nome do artefato&gt;”, conforme o guia de Políticas de GC. A aba Entregas já prevê as Configurações Base em v-&lt;major&gt;.&lt;minor&gt;.&lt;patch&gt; (v-1.0.0 a v-4.0.0), também conforme o guia.</t>
  </si>
  <si>
    <t>Os commits descrevem a alteração (“Reduz escopo para condominio unico e detalha requisitos”, “Remove o agendamento e renumera os casos de uso”, “Revisa e limpa os artefatos para fechamento do escopo”) e cada artefato mantém tabela de Histórico de Revisões com data, versão, descrição e autor. Boa prática: as mudanças entram por Pull Request a partir de branch criado da issue, o que amarra commit, issue e revisão. Ponto de atenção: o commit “sub-repo” não descreve o que foi alterado e há mistura de português e inglês nas mensagens — convém padronizar.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</si>
</sst>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 shrinkToFi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0.72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0.4</c:v>
                </c:pt>
                <c:pt idx="3">
                  <c:v>0.5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0.375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0.125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4.4"/>
  <cols>
    <col min="1" max="1" width="24.33203125" bestFit="1" customWidth="1"/>
    <col min="2" max="2" width="39" style="17" customWidth="1"/>
  </cols>
  <sheetData>
    <row r="1" spans="1:2" ht="18">
      <c r="A1" s="40" t="s">
        <v>70</v>
      </c>
      <c r="B1" s="40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>
        <f>'Ver-Iniciação1'!$F$2</f>
        <v>0.72</v>
      </c>
    </row>
    <row r="4" spans="1:2">
      <c r="A4" s="18" t="s">
        <v>66</v>
      </c>
      <c r="B4" s="20" t="e">
        <f>'Ver-Elaboração1'!$F$2</f>
        <v>#DIV/0!</v>
      </c>
    </row>
    <row r="5" spans="1:2">
      <c r="A5" s="18" t="s">
        <v>67</v>
      </c>
      <c r="B5" s="20" t="e">
        <f>'Ver-Construção1'!$F$2</f>
        <v>#DIV/0!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4.4"/>
  <cols>
    <col min="1" max="1" width="18.33203125" customWidth="1"/>
    <col min="2" max="2" width="8.109375" customWidth="1"/>
    <col min="3" max="3" width="17.109375" bestFit="1" customWidth="1"/>
    <col min="4" max="4" width="6.88671875" customWidth="1"/>
    <col min="5" max="5" width="6.44140625" customWidth="1"/>
    <col min="6" max="6" width="6.88671875" customWidth="1"/>
    <col min="14" max="14" width="13.109375" customWidth="1"/>
    <col min="16" max="16" width="11.332031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5">
        <f>('Ver-Iniciação1'!$G$5/SUM('Ver-Iniciação1'!$G$5:'Ver-Iniciação1'!$J$5))</f>
        <v>1</v>
      </c>
      <c r="C2" s="25">
        <f>('Ver-Iniciação1'!$H$5/SUM('Ver-Iniciação1'!$G$5:'Ver-Iniciação1'!$J$5))</f>
        <v>0</v>
      </c>
      <c r="D2" s="25">
        <f>('Ver-Iniciação1'!$I$5/SUM('Ver-Iniciação1'!$G$5:'Ver-Iniciação1'!$J$5))</f>
        <v>0</v>
      </c>
      <c r="E2" s="25">
        <f>('Ver-Iniciação1'!$J$5/SUM('Ver-Iniciação1'!$G$5:'Ver-Iniciação1'!$J$5))</f>
        <v>0</v>
      </c>
      <c r="N2" t="s">
        <v>2</v>
      </c>
      <c r="O2" s="25" t="e">
        <f>('Ver-Elaboração1'!$G$6/SUM('Ver-Elaboração1'!$G$6:'Ver-Elaboração1'!$J$6))</f>
        <v>#DIV/0!</v>
      </c>
      <c r="P2" s="25" t="e">
        <f>('Ver-Elaboração1'!$H$6/SUM('Ver-Elaboração1'!$G$6:'Ver-Elaboração1'!$J$6))</f>
        <v>#DIV/0!</v>
      </c>
      <c r="Q2" s="25" t="e">
        <f>('Ver-Elaboração1'!$I$6/SUM('Ver-Elaboração1'!$G$6:'Ver-Elaboração1'!$J$6))</f>
        <v>#DIV/0!</v>
      </c>
      <c r="R2" s="25" t="e">
        <f>('Ver-Elaboração1'!$J$6/SUM('Ver-Elaboração1'!$G$6:'Ver-Elaboração1'!$J$6))</f>
        <v>#DIV/0!</v>
      </c>
    </row>
    <row r="3" spans="1:18">
      <c r="A3" t="s">
        <v>2</v>
      </c>
      <c r="B3" s="25">
        <f>('Ver-Iniciação1'!$G$7/SUM('Ver-Iniciação1'!$G$7:'Ver-Iniciação1'!$J$7))</f>
        <v>1</v>
      </c>
      <c r="C3" s="25">
        <f>('Ver-Iniciação1'!$H$7/SUM('Ver-Iniciação1'!$G$7:'Ver-Iniciação1'!$J$7))</f>
        <v>0</v>
      </c>
      <c r="D3" s="25">
        <f>('Ver-Iniciação1'!$I$7/SUM('Ver-Iniciação1'!$G$7:'Ver-Iniciação1'!$J$7))</f>
        <v>0</v>
      </c>
      <c r="E3" s="25">
        <f>('Ver-Iniciação1'!$J$7/SUM('Ver-Iniciação1'!$G$7:'Ver-Iniciação1'!$J$7))</f>
        <v>0</v>
      </c>
      <c r="N3" t="s">
        <v>3</v>
      </c>
      <c r="O3" s="25" t="e">
        <f>('Ver-Elaboração1'!$G$8/SUM('Ver-Elaboração1'!$G$8:'Ver-Elaboração1'!$J$8))</f>
        <v>#DIV/0!</v>
      </c>
      <c r="P3" s="25" t="e">
        <f>('Ver-Elaboração1'!$H$8/SUM('Ver-Elaboração1'!$G$8:'Ver-Elaboração1'!$J$8))</f>
        <v>#DIV/0!</v>
      </c>
      <c r="Q3" s="25" t="e">
        <f>('Ver-Elaboração1'!$I$8/SUM('Ver-Elaboração1'!$G$8:'Ver-Elaboração1'!$J$8))</f>
        <v>#DIV/0!</v>
      </c>
      <c r="R3" s="25" t="e">
        <f>('Ver-Elaboração1'!$J$8/SUM('Ver-Elaboração1'!$G$8:'Ver-Elaboração1'!$J$8))</f>
        <v>#DIV/0!</v>
      </c>
    </row>
    <row r="4" spans="1:18">
      <c r="A4" t="s">
        <v>3</v>
      </c>
      <c r="B4" s="25">
        <f>('Ver-Iniciação1'!$G$13/SUM('Ver-Iniciação1'!$G$13:'Ver-Iniciação1'!$J$13))</f>
        <v>0.4</v>
      </c>
      <c r="C4" s="25">
        <f>('Ver-Iniciação1'!$H$13/SUM('Ver-Iniciação1'!$G$13:'Ver-Iniciação1'!$J$13))</f>
        <v>0.2</v>
      </c>
      <c r="D4" s="25">
        <f>('Ver-Iniciação1'!$I$13/SUM('Ver-Iniciação1'!$G$13:'Ver-Iniciação1'!$J$13))</f>
        <v>0.2</v>
      </c>
      <c r="E4" s="25">
        <f>('Ver-Iniciação1'!$J$13/SUM('Ver-Iniciação1'!$G$13:'Ver-Iniciação1'!$J$13))</f>
        <v>0.2</v>
      </c>
      <c r="N4" t="s">
        <v>14</v>
      </c>
      <c r="O4" s="25" t="e">
        <f>('Ver-Elaboração1'!$G$11/SUM('Ver-Elaboração1'!$G$11:'Ver-Elaboração1'!$J$11))</f>
        <v>#DIV/0!</v>
      </c>
      <c r="P4" s="25" t="e">
        <f>('Ver-Elaboração1'!$H$11/SUM('Ver-Elaboração1'!$G$11:'Ver-Elaboração1'!$J$11))</f>
        <v>#DIV/0!</v>
      </c>
      <c r="Q4" s="25" t="e">
        <f>('Ver-Elaboração1'!$I$11/SUM('Ver-Elaboração1'!$G$11:'Ver-Elaboração1'!$J$11))</f>
        <v>#DIV/0!</v>
      </c>
      <c r="R4" s="25" t="e">
        <f>('Ver-Elaboração1'!$J$11/SUM('Ver-Elaboração1'!$G$11:'Ver-Elaboração1'!$J$11))</f>
        <v>#DIV/0!</v>
      </c>
    </row>
    <row r="5" spans="1:18">
      <c r="A5" t="s">
        <v>14</v>
      </c>
      <c r="B5" s="25">
        <f>('Ver-Iniciação1'!$G$19/SUM('Ver-Iniciação1'!$G$19:'Ver-Iniciação1'!$J$19))</f>
        <v>0.5</v>
      </c>
      <c r="C5" s="25">
        <f>('Ver-Iniciação1'!$H$19/SUM('Ver-Iniciação1'!$G$19:'Ver-Iniciação1'!$J$19))</f>
        <v>0.5</v>
      </c>
      <c r="D5" s="25">
        <f>('Ver-Iniciação1'!$I$19/SUM('Ver-Iniciação1'!$G$19:'Ver-Iniciação1'!$J$19))</f>
        <v>0</v>
      </c>
      <c r="E5" s="25">
        <f>('Ver-Iniciação1'!$J$19/SUM('Ver-Iniciação1'!$G$19:'Ver-Iniciação1'!$J$19))</f>
        <v>0</v>
      </c>
      <c r="N5" t="s">
        <v>4</v>
      </c>
      <c r="O5" s="25" t="e">
        <f>('Ver-Elaboração1'!$G$16/SUM('Ver-Elaboração1'!$G$16:'Ver-Elaboração1'!$J$16))</f>
        <v>#DIV/0!</v>
      </c>
      <c r="P5" s="25" t="e">
        <f>('Ver-Elaboração1'!$H$16/SUM('Ver-Elaboração1'!$G$16:'Ver-Elaboração1'!$J$16))</f>
        <v>#DIV/0!</v>
      </c>
      <c r="Q5" s="25" t="e">
        <f>('Ver-Elaboração1'!$I$16/SUM('Ver-Elaboração1'!$G$16:'Ver-Elaboração1'!$J$16))</f>
        <v>#DIV/0!</v>
      </c>
      <c r="R5" s="25" t="e">
        <f>('Ver-Elaboração1'!$J$16/SUM('Ver-Elaboração1'!$G$16:'Ver-Elaboração1'!$J$16))</f>
        <v>#DIV/0!</v>
      </c>
    </row>
    <row r="6" spans="1:18">
      <c r="A6" t="s">
        <v>4</v>
      </c>
      <c r="B6" s="25">
        <f>('Ver-Iniciação1'!$G$22/SUM('Ver-Iniciação1'!$G$22:'Ver-Iniciação1'!$J$22))</f>
        <v>1</v>
      </c>
      <c r="C6" s="25">
        <f>('Ver-Iniciação1'!$H$22/SUM('Ver-Iniciação1'!$G$22:'Ver-Iniciação1'!$J$22))</f>
        <v>0</v>
      </c>
      <c r="D6" s="25">
        <f>('Ver-Iniciação1'!$I$22/SUM('Ver-Iniciação1'!$G$22:'Ver-Iniciação1'!$J$22))</f>
        <v>0</v>
      </c>
      <c r="E6" s="25">
        <f>('Ver-Iniciação1'!$J$22/SUM('Ver-Iniciação1'!$G$22:'Ver-Iniciação1'!$J$22))</f>
        <v>0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>
        <f>('Ver-Iniciação1'!$G$25/SUM('Ver-Iniciação1'!$G$25:'Ver-Iniciação1'!$J$25))</f>
        <v>0</v>
      </c>
      <c r="C7" s="25">
        <f>('Ver-Iniciação1'!$H$25/SUM('Ver-Iniciação1'!$G$25:'Ver-Iniciação1'!$J$25))</f>
        <v>0</v>
      </c>
      <c r="D7" s="25">
        <f>('Ver-Iniciação1'!$I$25/SUM('Ver-Iniciação1'!$G$25:'Ver-Iniciação1'!$J$25))</f>
        <v>0</v>
      </c>
      <c r="E7" s="25">
        <f>('Ver-Iniciação1'!$J$25/SUM('Ver-Iniciação1'!$G$25:'Ver-Iniciação1'!$J$25))</f>
        <v>1</v>
      </c>
      <c r="N7" t="s">
        <v>5</v>
      </c>
      <c r="O7" s="25" t="e">
        <f>('Ver-Elaboração1'!$G$18/SUM('Ver-Elaboração1'!$G$18:'Ver-Elaboração1'!$J$18))</f>
        <v>#DIV/0!</v>
      </c>
      <c r="P7" s="25" t="e">
        <f>('Ver-Elaboração1'!$H$18/SUM('Ver-Elaboração1'!$G$18:'Ver-Elaboração1'!$J$18))</f>
        <v>#DIV/0!</v>
      </c>
      <c r="Q7" s="25" t="e">
        <f>('Ver-Elaboração1'!$I$18/SUM('Ver-Elaboração1'!$G$18:'Ver-Elaboração1'!$J$18))</f>
        <v>#DIV/0!</v>
      </c>
      <c r="R7" s="25" t="e">
        <f>('Ver-Elaboração1'!$J$18/SUM('Ver-Elaboração1'!$G$18:'Ver-Elaboração1'!$J$18))</f>
        <v>#DIV/0!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91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 t="e">
        <f>('Ver-Elaboração1'!$G$23/SUM('Ver-Elaboração1'!$G$23:'Ver-Elaboração1'!$J$23))</f>
        <v>#DIV/0!</v>
      </c>
      <c r="P9" s="25" t="e">
        <f>('Ver-Elaboração1'!$H$23/SUM('Ver-Elaboração1'!$G$23:'Ver-Elaboração1'!$J$23))</f>
        <v>#DIV/0!</v>
      </c>
      <c r="Q9" s="25" t="e">
        <f>('Ver-Elaboração1'!$I$23/SUM('Ver-Elaboração1'!$G$23:'Ver-Elaboração1'!$J$23))</f>
        <v>#DIV/0!</v>
      </c>
      <c r="R9" s="25" t="e">
        <f>('Ver-Elaboração1'!$J$23/SUM('Ver-Elaboração1'!$G$23:'Ver-Elaboração1'!$J$23))</f>
        <v>#DIV/0!</v>
      </c>
    </row>
    <row r="10" spans="1:18">
      <c r="A10" t="s">
        <v>13</v>
      </c>
      <c r="B10" s="25">
        <f>('Ver-Iniciação1'!$G$28/SUM('Ver-Iniciação1'!$G$28:'Ver-Iniciação1'!$J$28))</f>
        <v>0.375</v>
      </c>
      <c r="C10" s="25">
        <f>('Ver-Iniciação1'!$H$28/SUM('Ver-Iniciação1'!$G$28:'Ver-Iniciação1'!$J$28))</f>
        <v>0.5</v>
      </c>
      <c r="D10" s="25">
        <f>('Ver-Iniciação1'!$I$28/SUM('Ver-Iniciação1'!$G$28:'Ver-Iniciação1'!$J$28))</f>
        <v>0</v>
      </c>
      <c r="E10" s="25">
        <f>('Ver-Iniciação1'!$J$28/SUM('Ver-Iniciação1'!$G$28:'Ver-Iniciação1'!$J$28))</f>
        <v>0.125</v>
      </c>
      <c r="N10" t="s">
        <v>13</v>
      </c>
      <c r="O10" s="25" t="e">
        <f>('Ver-Elaboração1'!$G$29/SUM('Ver-Elaboração1'!$G$29:'Ver-Elaboração1'!$J$29))</f>
        <v>#DIV/0!</v>
      </c>
      <c r="P10" s="25" t="e">
        <f>('Ver-Elaboração1'!$H$29/SUM('Ver-Elaboração1'!$G$29:'Ver-Elaboração1'!$J$29))</f>
        <v>#DIV/0!</v>
      </c>
      <c r="Q10" s="25" t="e">
        <f>('Ver-Elaboração1'!$I$29/SUM('Ver-Elaboração1'!$G$29:'Ver-Elaboração1'!$J$29))</f>
        <v>#DIV/0!</v>
      </c>
      <c r="R10" s="25" t="e">
        <f>('Ver-Elaboração1'!$J$29/SUM('Ver-Elaboração1'!$G$29:'Ver-Elaboração1'!$J$29))</f>
        <v>#DIV/0!</v>
      </c>
    </row>
    <row r="11" spans="1:18">
      <c r="A11" t="s">
        <v>56</v>
      </c>
      <c r="B11" s="25">
        <f>('Ver-Iniciação1'!$G$37/SUM('Ver-Iniciação1'!$G$37:'Ver-Iniciação1'!$J$37))</f>
        <v>1</v>
      </c>
      <c r="C11" s="25">
        <f>('Ver-Iniciação1'!$H$37/SUM('Ver-Iniciação1'!$G$37:'Ver-Iniciação1'!$J$37))</f>
        <v>0</v>
      </c>
      <c r="D11" s="25">
        <f>('Ver-Iniciação1'!$I$37/SUM('Ver-Iniciação1'!$G$37:'Ver-Iniciação1'!$J$37))</f>
        <v>0</v>
      </c>
      <c r="E11" s="25">
        <f>('Ver-Iniciação1'!$J$37/SUM('Ver-Iniciação1'!$G$37:'Ver-Iniciação1'!$J$37))</f>
        <v>0</v>
      </c>
      <c r="N11" t="s">
        <v>56</v>
      </c>
      <c r="O11" s="25" t="e">
        <f>('Ver-Elaboração1'!$G$36/SUM('Ver-Elaboração1'!$G$36:'Ver-Elaboração1'!$J$36))</f>
        <v>#DIV/0!</v>
      </c>
      <c r="P11" s="25" t="e">
        <f>('Ver-Elaboração1'!$H$36/SUM('Ver-Elaboração1'!$G$36:'Ver-Elaboração1'!$J$36))</f>
        <v>#DIV/0!</v>
      </c>
      <c r="Q11" s="25" t="e">
        <f>('Ver-Elaboração1'!$I$36/SUM('Ver-Elaboração1'!$G$36:'Ver-Elaboração1'!$J$36))</f>
        <v>#DIV/0!</v>
      </c>
      <c r="R11" s="25" t="e">
        <f>('Ver-Elaboração1'!$J$36/SUM('Ver-Elaboração1'!$G$36:'Ver-Elaboração1'!$J$36))</f>
        <v>#DIV/0!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 t="e">
        <f>('Ver-Elaboração1'!$G$40/SUM('Ver-Elaboração1'!$G$40:'Ver-Elaboração1'!$J$40))</f>
        <v>#DIV/0!</v>
      </c>
      <c r="P12" s="25" t="e">
        <f>('Ver-Elaboração1'!$H$40/SUM('Ver-Elaboração1'!$G$40:'Ver-Elaboração1'!$J$40))</f>
        <v>#DIV/0!</v>
      </c>
      <c r="Q12" s="25" t="e">
        <f>('Ver-Elaboração1'!$I$40/SUM('Ver-Elaboração1'!$G$40:'Ver-Elaboração1'!$J$40))</f>
        <v>#DIV/0!</v>
      </c>
      <c r="R12" s="25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6" t="e">
        <f>('Ver-Construção1'!$G$6/SUM('Ver-Construção1'!$G$6:'Ver-Construção1'!$J$6))</f>
        <v>#DIV/0!</v>
      </c>
      <c r="C23" s="27" t="e">
        <f>('Ver-Construção1'!$H$6/SUM('Ver-Construção1'!$G$6:'Ver-Construção1'!$J$6))</f>
        <v>#DIV/0!</v>
      </c>
      <c r="D23" s="27" t="e">
        <f>('Ver-Construção1'!$I$6/SUM('Ver-Construção1'!$G$6:'Ver-Construção1'!$J$6))</f>
        <v>#DIV/0!</v>
      </c>
      <c r="E23" s="27" t="e">
        <f>('Ver-Construção1'!$J$6/SUM('Ver-Construção1'!$G$6:'Ver-Construção1'!$J$6))</f>
        <v>#DIV/0!</v>
      </c>
    </row>
    <row r="24" spans="1:17">
      <c r="A24" t="s">
        <v>3</v>
      </c>
      <c r="B24" s="26" t="e">
        <f>('Ver-Construção1'!$G$8/SUM('Ver-Construção1'!$G$8:'Ver-Construção1'!$J$8))</f>
        <v>#DIV/0!</v>
      </c>
      <c r="C24" s="27" t="e">
        <f>('Ver-Construção1'!$H$8/SUM('Ver-Construção1'!$G$8:'Ver-Construção1'!$J$8))</f>
        <v>#DIV/0!</v>
      </c>
      <c r="D24" s="27" t="e">
        <f>('Ver-Construção1'!$I$8/SUM('Ver-Construção1'!$G$8:'Ver-Construção1'!$J$8))</f>
        <v>#DIV/0!</v>
      </c>
      <c r="E24" s="27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6" t="e">
        <f>('Ver-Construção1'!$G$10/SUM('Ver-Construção1'!$G$10:'Ver-Construção1'!$J$10))</f>
        <v>#DIV/0!</v>
      </c>
      <c r="C25" s="27" t="e">
        <f>('Ver-Construção1'!$G$10/SUM('Ver-Construção1'!$G$10:'Ver-Construção1'!$J$10))</f>
        <v>#DIV/0!</v>
      </c>
      <c r="D25" s="27" t="e">
        <f>('Ver-Construção1'!$I$10/SUM('Ver-Construção1'!$G$10:'Ver-Construção1'!$J$10))</f>
        <v>#DIV/0!</v>
      </c>
      <c r="E25" s="27" t="e">
        <f>('Ver-Construção1'!$J$10/SUM('Ver-Construção1'!$G$10:'Ver-Construção1'!$J$10))</f>
        <v>#DIV/0!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 t="e">
        <f>('Ver-Construção1'!$G$14/SUM('Ver-Construção1'!$G$14:'Ver-Construção1'!$J$14))</f>
        <v>#DIV/0!</v>
      </c>
      <c r="C26" s="27" t="e">
        <f>('Ver-Construção1'!$H$14/SUM('Ver-Construção1'!$G$14:'Ver-Construção1'!$J$14))</f>
        <v>#DIV/0!</v>
      </c>
      <c r="D26" s="27" t="e">
        <f>('Ver-Construção1'!$I$14/SUM('Ver-Construção1'!$G$14:'Ver-Construção1'!$J$14))</f>
        <v>#DIV/0!</v>
      </c>
      <c r="E26" s="27" t="e">
        <f>('Ver-Construção1'!$J$14/SUM('Ver-Construção1'!$G$14:'Ver-Construção1'!$J$14))</f>
        <v>#DIV/0!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 t="e">
        <f>('Ver-Construção1'!$G$16/SUM('Ver-Construção1'!$G$16:'Ver-Construção1'!$J$16))</f>
        <v>#DIV/0!</v>
      </c>
      <c r="C28" s="27" t="e">
        <f>('Ver-Construção1'!$H$16/SUM('Ver-Construção1'!$G$16:'Ver-Construção1'!$J$16))</f>
        <v>#DIV/0!</v>
      </c>
      <c r="D28" s="27" t="e">
        <f>('Ver-Construção1'!$I$16/SUM('Ver-Construção1'!$G$16:'Ver-Construção1'!$J$16))</f>
        <v>#DIV/0!</v>
      </c>
      <c r="E28" s="27" t="e">
        <f>('Ver-Construção1'!$J$16/SUM('Ver-Construção1'!$G$16:'Ver-Construção1'!$J$16))</f>
        <v>#DIV/0!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 t="e">
        <f>('Ver-Construção1'!$G$30/SUM('Ver-Construção1'!$G$30:'Ver-Construção1'!$J$30))</f>
        <v>#DIV/0!</v>
      </c>
      <c r="C32" s="27" t="e">
        <f>('Ver-Construção1'!$H$30/SUM('Ver-Construção1'!$G$30:'Ver-Construção1'!$J$30))</f>
        <v>#DIV/0!</v>
      </c>
      <c r="D32" s="27" t="e">
        <f>('Ver-Construção1'!$I$30/SUM('Ver-Construção1'!$G$30:'Ver-Construção1'!$J$30))</f>
        <v>#DIV/0!</v>
      </c>
      <c r="E32" s="27" t="e">
        <f>('Ver-Construção1'!$J$30/SUM('Ver-Construção1'!$G$30:'Ver-Construção1'!$J$30))</f>
        <v>#DIV/0!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tabSelected="1" topLeftCell="A34" zoomScaleNormal="100" workbookViewId="0">
      <selection activeCell="D36" sqref="D36"/>
    </sheetView>
  </sheetViews>
  <sheetFormatPr defaultRowHeight="17.399999999999999"/>
  <cols>
    <col min="1" max="1" width="21.109375" customWidth="1"/>
    <col min="2" max="2" width="5.33203125" style="4" customWidth="1"/>
    <col min="3" max="3" width="84" style="2" customWidth="1"/>
    <col min="4" max="4" width="9.88671875" bestFit="1" customWidth="1"/>
    <col min="5" max="5" width="31.88671875" customWidth="1"/>
    <col min="6" max="6" width="28" customWidth="1"/>
    <col min="7" max="7" width="4.44140625" hidden="1" customWidth="1"/>
    <col min="8" max="8" width="6.109375" hidden="1" customWidth="1"/>
    <col min="9" max="9" width="9.33203125" hidden="1" customWidth="1"/>
    <col min="10" max="10" width="6" hidden="1" customWidth="1"/>
  </cols>
  <sheetData>
    <row r="1" spans="1:10" ht="19.5" customHeight="1">
      <c r="A1" s="31" t="s">
        <v>16</v>
      </c>
      <c r="B1" s="31"/>
      <c r="C1" s="31"/>
      <c r="D1" s="31"/>
      <c r="E1" s="31"/>
      <c r="F1" s="31"/>
    </row>
    <row r="2" spans="1:10" ht="18.75" customHeight="1" thickBot="1">
      <c r="A2" s="32" t="s">
        <v>25</v>
      </c>
      <c r="B2" s="32"/>
      <c r="C2" s="16" t="s">
        <v>114</v>
      </c>
      <c r="D2" s="38" t="s">
        <v>44</v>
      </c>
      <c r="E2" s="39"/>
      <c r="F2" s="21">
        <f>COUNTIF(D5:D41,"Sim")/(COUNTA(D5:D41)-COUNTIF(D5:D41,"NA"))</f>
        <v>0.72</v>
      </c>
    </row>
    <row r="3" spans="1:10" ht="15" thickBot="1">
      <c r="A3" s="32" t="s">
        <v>26</v>
      </c>
      <c r="B3" s="32"/>
      <c r="C3" s="13" t="s">
        <v>115</v>
      </c>
      <c r="D3" s="35" t="s">
        <v>43</v>
      </c>
      <c r="E3" s="36"/>
      <c r="F3" s="37"/>
    </row>
    <row r="4" spans="1:10" ht="14.4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4.4">
      <c r="A5" s="33" t="s">
        <v>0</v>
      </c>
      <c r="B5" s="9"/>
      <c r="C5" s="10" t="s">
        <v>1</v>
      </c>
      <c r="D5" s="12"/>
      <c r="E5" s="12"/>
      <c r="F5" s="12"/>
      <c r="G5">
        <f>COUNTIF(D6,"Sim")</f>
        <v>1</v>
      </c>
      <c r="H5">
        <f>COUNTIF(D6,"Parcialmente")</f>
        <v>0</v>
      </c>
      <c r="I5">
        <f>COUNTIF(D6,"Não")</f>
        <v>0</v>
      </c>
      <c r="J5">
        <f>COUNTIF(D6,"NA")</f>
        <v>0</v>
      </c>
    </row>
    <row r="6" spans="1:10" ht="129.6">
      <c r="A6" s="34"/>
      <c r="B6" s="5">
        <v>1</v>
      </c>
      <c r="C6" s="8" t="s">
        <v>33</v>
      </c>
      <c r="D6" s="3" t="s">
        <v>116</v>
      </c>
      <c r="E6" s="8"/>
      <c r="F6" s="8" t="s">
        <v>117</v>
      </c>
    </row>
    <row r="7" spans="1:10" ht="15" customHeight="1">
      <c r="A7" s="33" t="s">
        <v>17</v>
      </c>
      <c r="B7" s="9"/>
      <c r="C7" s="10" t="s">
        <v>2</v>
      </c>
      <c r="D7" s="12"/>
      <c r="E7" s="12"/>
      <c r="F7" s="12"/>
      <c r="G7">
        <f>COUNTIF(D8:D12,"Sim")</f>
        <v>5</v>
      </c>
      <c r="H7">
        <f>COUNTIF(D8:D12,"Parcialmente")</f>
        <v>0</v>
      </c>
      <c r="I7">
        <f>COUNTIF(D8:D12,"Não")</f>
        <v>0</v>
      </c>
      <c r="J7">
        <f>COUNTIF(D8:D12,"NA")</f>
        <v>0</v>
      </c>
    </row>
    <row r="8" spans="1:10" ht="15" customHeight="1">
      <c r="A8" s="30"/>
      <c r="B8" s="22">
        <v>2</v>
      </c>
      <c r="C8" s="24" t="s">
        <v>72</v>
      </c>
      <c r="D8" s="3" t="s">
        <v>116</v>
      </c>
      <c r="E8" s="8"/>
      <c r="F8" s="8" t="s">
        <v>118</v>
      </c>
    </row>
    <row r="9" spans="1:10" ht="158.4">
      <c r="A9" s="30"/>
      <c r="B9" s="5">
        <v>3</v>
      </c>
      <c r="C9" s="8" t="s">
        <v>31</v>
      </c>
      <c r="D9" s="3" t="s">
        <v>116</v>
      </c>
      <c r="E9" s="8"/>
      <c r="F9" s="8" t="s">
        <v>119</v>
      </c>
    </row>
    <row r="10" spans="1:10" ht="115.2">
      <c r="A10" s="30"/>
      <c r="B10" s="5">
        <v>4</v>
      </c>
      <c r="C10" s="8" t="s">
        <v>77</v>
      </c>
      <c r="D10" s="3" t="s">
        <v>116</v>
      </c>
      <c r="E10" s="8"/>
      <c r="F10" s="8" t="s">
        <v>120</v>
      </c>
    </row>
    <row r="11" spans="1:10" s="1" customFormat="1" ht="86.4">
      <c r="A11" s="30"/>
      <c r="B11" s="5">
        <v>5</v>
      </c>
      <c r="C11" s="8" t="s">
        <v>32</v>
      </c>
      <c r="D11" s="3" t="s">
        <v>116</v>
      </c>
      <c r="E11" s="8"/>
      <c r="F11" s="8" t="s">
        <v>121</v>
      </c>
    </row>
    <row r="12" spans="1:10" ht="16.5" customHeight="1">
      <c r="A12" s="30"/>
      <c r="B12" s="5">
        <v>6</v>
      </c>
      <c r="C12" s="8" t="s">
        <v>40</v>
      </c>
      <c r="D12" s="3" t="s">
        <v>116</v>
      </c>
      <c r="E12" s="8"/>
      <c r="F12" s="8" t="s">
        <v>122</v>
      </c>
    </row>
    <row r="13" spans="1:10" ht="14.4">
      <c r="A13" s="30"/>
      <c r="B13" s="9"/>
      <c r="C13" s="10" t="s">
        <v>3</v>
      </c>
      <c r="D13" s="12"/>
      <c r="E13" s="12"/>
      <c r="F13" s="12"/>
      <c r="G13">
        <f>COUNTIF(D14:D18,"Sim")</f>
        <v>2</v>
      </c>
      <c r="H13">
        <f>COUNTIF(D14:D18,"Parcialmente")</f>
        <v>1</v>
      </c>
      <c r="I13">
        <f>COUNTIF(D14:D18,"Não")</f>
        <v>1</v>
      </c>
      <c r="J13">
        <f>COUNTIF(D14:D18,"NA")</f>
        <v>1</v>
      </c>
    </row>
    <row r="14" spans="1:10" ht="144">
      <c r="A14" s="30"/>
      <c r="B14" s="23">
        <v>7</v>
      </c>
      <c r="C14" s="24" t="s">
        <v>72</v>
      </c>
      <c r="D14" s="3" t="s">
        <v>123</v>
      </c>
      <c r="E14" s="8" t="s">
        <v>124</v>
      </c>
      <c r="F14" s="8" t="s">
        <v>125</v>
      </c>
    </row>
    <row r="15" spans="1:10" s="1" customFormat="1" ht="115.2">
      <c r="A15" s="30"/>
      <c r="B15" s="5">
        <v>8</v>
      </c>
      <c r="C15" s="8" t="s">
        <v>34</v>
      </c>
      <c r="D15" s="3" t="s">
        <v>116</v>
      </c>
      <c r="E15" s="8"/>
      <c r="F15" s="8" t="s">
        <v>126</v>
      </c>
    </row>
    <row r="16" spans="1:10" s="1" customFormat="1" ht="129.6">
      <c r="A16" s="30"/>
      <c r="B16" s="5">
        <v>9</v>
      </c>
      <c r="C16" s="8" t="s">
        <v>79</v>
      </c>
      <c r="D16" s="3" t="s">
        <v>116</v>
      </c>
      <c r="E16" s="8"/>
      <c r="F16" s="8" t="s">
        <v>127</v>
      </c>
    </row>
    <row r="17" spans="1:10" s="1" customFormat="1" ht="100.8">
      <c r="A17" s="30"/>
      <c r="B17" s="23">
        <v>10</v>
      </c>
      <c r="C17" s="24" t="s">
        <v>76</v>
      </c>
      <c r="D17" s="3" t="s">
        <v>128</v>
      </c>
      <c r="E17" s="8" t="s">
        <v>129</v>
      </c>
      <c r="F17" s="8"/>
    </row>
    <row r="18" spans="1:10" s="1" customFormat="1" ht="144">
      <c r="A18" s="30"/>
      <c r="B18" s="5">
        <v>11</v>
      </c>
      <c r="C18" s="8" t="s">
        <v>75</v>
      </c>
      <c r="D18" s="3" t="s">
        <v>130</v>
      </c>
      <c r="E18" s="8" t="s">
        <v>131</v>
      </c>
      <c r="F18" s="8" t="s">
        <v>132</v>
      </c>
    </row>
    <row r="19" spans="1:10" ht="14.4">
      <c r="A19" s="30"/>
      <c r="B19" s="9"/>
      <c r="C19" s="10" t="s">
        <v>97</v>
      </c>
      <c r="D19" s="12"/>
      <c r="E19" s="12"/>
      <c r="F19" s="12"/>
      <c r="G19">
        <f>COUNTIF(D20:D21,"Sim")</f>
        <v>1</v>
      </c>
      <c r="H19">
        <f>COUNTIF(D20:D21,"Parcialmente")</f>
        <v>1</v>
      </c>
      <c r="I19">
        <f>COUNTIF(D20:D21,"Não")</f>
        <v>0</v>
      </c>
      <c r="J19">
        <f>COUNTIF(D20:D21,"NA")</f>
        <v>0</v>
      </c>
    </row>
    <row r="20" spans="1:10" ht="230.4">
      <c r="A20" s="30"/>
      <c r="B20" s="23">
        <v>12</v>
      </c>
      <c r="C20" s="24" t="s">
        <v>78</v>
      </c>
      <c r="D20" s="3" t="s">
        <v>123</v>
      </c>
      <c r="E20" s="8" t="s">
        <v>133</v>
      </c>
      <c r="F20" s="8" t="s">
        <v>134</v>
      </c>
    </row>
    <row r="21" spans="1:10" ht="172.8">
      <c r="A21" s="30"/>
      <c r="B21" s="5">
        <v>13</v>
      </c>
      <c r="C21" s="8" t="s">
        <v>80</v>
      </c>
      <c r="D21" s="3" t="s">
        <v>116</v>
      </c>
      <c r="E21" s="8"/>
      <c r="F21" s="8" t="s">
        <v>135</v>
      </c>
    </row>
    <row r="22" spans="1:10" ht="14.4">
      <c r="A22" s="30"/>
      <c r="B22" s="9"/>
      <c r="C22" s="10" t="s">
        <v>4</v>
      </c>
      <c r="D22" s="12"/>
      <c r="E22" s="12"/>
      <c r="F22" s="12"/>
      <c r="G22">
        <f>COUNTIF(D23:D24,"Sim")</f>
        <v>2</v>
      </c>
      <c r="H22">
        <f>COUNTIF(D23:D24,"Parcialmente")</f>
        <v>0</v>
      </c>
      <c r="I22">
        <f>COUNTIF(D23:D24,"Não")</f>
        <v>0</v>
      </c>
      <c r="J22">
        <f>COUNTIF(D23:D24,"NA")</f>
        <v>0</v>
      </c>
    </row>
    <row r="23" spans="1:10" ht="86.4">
      <c r="A23" s="30"/>
      <c r="B23" s="23">
        <v>14</v>
      </c>
      <c r="C23" s="24" t="s">
        <v>72</v>
      </c>
      <c r="D23" s="3" t="s">
        <v>116</v>
      </c>
      <c r="E23" s="8"/>
      <c r="F23" s="8" t="s">
        <v>136</v>
      </c>
    </row>
    <row r="24" spans="1:10" ht="172.8">
      <c r="A24" s="30"/>
      <c r="B24" s="5">
        <v>15</v>
      </c>
      <c r="C24" s="8" t="s">
        <v>35</v>
      </c>
      <c r="D24" s="3" t="s">
        <v>116</v>
      </c>
      <c r="E24" s="8"/>
      <c r="F24" s="8" t="s">
        <v>137</v>
      </c>
    </row>
    <row r="25" spans="1:10" ht="14.4">
      <c r="A25" s="30"/>
      <c r="B25" s="9"/>
      <c r="C25" s="10" t="s">
        <v>36</v>
      </c>
      <c r="D25" s="12"/>
      <c r="E25" s="12"/>
      <c r="F25" s="12"/>
      <c r="G25">
        <f>COUNTIF(D26:D27,"Sim")</f>
        <v>0</v>
      </c>
      <c r="H25">
        <f>COUNTIF(D26:D27,"Parcialmente")</f>
        <v>0</v>
      </c>
      <c r="I25">
        <f>COUNTIF(D26:D27,"Não")</f>
        <v>0</v>
      </c>
      <c r="J25">
        <f>COUNTIF(D26:D27,"NA")</f>
        <v>2</v>
      </c>
    </row>
    <row r="26" spans="1:10" ht="129.6">
      <c r="A26" s="30"/>
      <c r="B26" s="23">
        <v>16</v>
      </c>
      <c r="C26" s="24" t="s">
        <v>72</v>
      </c>
      <c r="D26" s="3" t="s">
        <v>128</v>
      </c>
      <c r="E26" s="8" t="s">
        <v>138</v>
      </c>
      <c r="F26" s="8"/>
    </row>
    <row r="27" spans="1:10" ht="115.2">
      <c r="A27" s="30"/>
      <c r="B27" s="5">
        <v>17</v>
      </c>
      <c r="C27" s="8" t="s">
        <v>37</v>
      </c>
      <c r="D27" s="3" t="s">
        <v>128</v>
      </c>
      <c r="E27" s="8" t="s">
        <v>139</v>
      </c>
      <c r="F27" s="8"/>
    </row>
    <row r="28" spans="1:10" ht="14.4">
      <c r="A28" s="30"/>
      <c r="B28" s="9"/>
      <c r="C28" s="10" t="s">
        <v>13</v>
      </c>
      <c r="D28" s="12"/>
      <c r="E28" s="12"/>
      <c r="F28" s="12"/>
      <c r="G28">
        <f>COUNTIF(D29:D36,"Sim")</f>
        <v>3</v>
      </c>
      <c r="H28">
        <f>COUNTIF(D29:D36,"Parcialmente")</f>
        <v>4</v>
      </c>
      <c r="I28">
        <f>COUNTIF(D29:D36,"Não")</f>
        <v>0</v>
      </c>
      <c r="J28">
        <f>COUNTIF(D29:D36,"NA")</f>
        <v>1</v>
      </c>
    </row>
    <row r="29" spans="1:10" ht="144">
      <c r="A29" s="30"/>
      <c r="B29" s="23">
        <v>21</v>
      </c>
      <c r="C29" s="24" t="s">
        <v>72</v>
      </c>
      <c r="D29" s="3" t="s">
        <v>116</v>
      </c>
      <c r="E29" s="8"/>
      <c r="F29" s="8" t="s">
        <v>140</v>
      </c>
    </row>
    <row r="30" spans="1:10" ht="115.2">
      <c r="A30" s="30"/>
      <c r="B30" s="5">
        <v>22</v>
      </c>
      <c r="C30" s="8" t="s">
        <v>41</v>
      </c>
      <c r="D30" s="3" t="s">
        <v>116</v>
      </c>
      <c r="E30" s="8"/>
      <c r="F30" s="8" t="s">
        <v>141</v>
      </c>
    </row>
    <row r="31" spans="1:10" ht="172.8">
      <c r="A31" s="30"/>
      <c r="B31" s="5">
        <v>23</v>
      </c>
      <c r="C31" s="8" t="s">
        <v>86</v>
      </c>
      <c r="D31" s="3" t="s">
        <v>116</v>
      </c>
      <c r="E31" s="8"/>
      <c r="F31" s="8" t="s">
        <v>142</v>
      </c>
    </row>
    <row r="32" spans="1:10" ht="331.2">
      <c r="A32" s="30"/>
      <c r="B32" s="5">
        <v>24</v>
      </c>
      <c r="C32" s="8" t="s">
        <v>82</v>
      </c>
      <c r="D32" s="3" t="s">
        <v>123</v>
      </c>
      <c r="E32" s="8" t="s">
        <v>143</v>
      </c>
      <c r="F32" s="8" t="s">
        <v>144</v>
      </c>
    </row>
    <row r="33" spans="1:10" ht="172.8">
      <c r="A33" s="30"/>
      <c r="B33" s="5">
        <v>25</v>
      </c>
      <c r="C33" s="8" t="s">
        <v>83</v>
      </c>
      <c r="D33" s="3" t="s">
        <v>123</v>
      </c>
      <c r="E33" s="8" t="s">
        <v>145</v>
      </c>
      <c r="F33" s="8" t="s">
        <v>146</v>
      </c>
    </row>
    <row r="34" spans="1:10" ht="201.6">
      <c r="A34" s="30"/>
      <c r="B34" s="5">
        <v>26</v>
      </c>
      <c r="C34" s="8" t="s">
        <v>87</v>
      </c>
      <c r="D34" s="3" t="s">
        <v>123</v>
      </c>
      <c r="E34" s="8" t="s">
        <v>147</v>
      </c>
      <c r="F34" s="8" t="s">
        <v>148</v>
      </c>
    </row>
    <row r="35" spans="1:10" ht="18.75" customHeight="1">
      <c r="A35" s="30"/>
      <c r="B35" s="5">
        <v>27</v>
      </c>
      <c r="C35" s="8" t="s">
        <v>84</v>
      </c>
      <c r="D35" s="3" t="s">
        <v>123</v>
      </c>
      <c r="E35" s="8" t="s">
        <v>149</v>
      </c>
      <c r="F35" s="8" t="s">
        <v>150</v>
      </c>
    </row>
    <row r="36" spans="1:10" ht="129.6">
      <c r="A36" s="30"/>
      <c r="B36" s="5">
        <v>28</v>
      </c>
      <c r="C36" s="8" t="s">
        <v>85</v>
      </c>
      <c r="D36" s="3" t="s">
        <v>128</v>
      </c>
      <c r="E36" s="8" t="s">
        <v>151</v>
      </c>
      <c r="F36" s="8" t="s">
        <v>152</v>
      </c>
    </row>
    <row r="37" spans="1:10" ht="15" customHeight="1">
      <c r="A37" s="28" t="s">
        <v>30</v>
      </c>
      <c r="B37" s="9"/>
      <c r="C37" s="10" t="s">
        <v>56</v>
      </c>
      <c r="D37" s="12"/>
      <c r="E37" s="12"/>
      <c r="F37" s="12"/>
      <c r="G37">
        <f>COUNTIF(D38:D41,"Sim")</f>
        <v>4</v>
      </c>
      <c r="H37">
        <f>COUNTIF(D38:D41,"Parcialmente")</f>
        <v>0</v>
      </c>
      <c r="I37">
        <f>COUNTIF(D38:D41,"Não")</f>
        <v>0</v>
      </c>
      <c r="J37">
        <f>COUNTIF(D38:D41,"NA")</f>
        <v>0</v>
      </c>
    </row>
    <row r="38" spans="1:10" ht="187.2">
      <c r="A38" s="29"/>
      <c r="B38" s="23">
        <v>30</v>
      </c>
      <c r="C38" s="24" t="s">
        <v>73</v>
      </c>
      <c r="D38" s="3" t="s">
        <v>116</v>
      </c>
      <c r="E38" s="8"/>
      <c r="F38" s="8" t="s">
        <v>153</v>
      </c>
    </row>
    <row r="39" spans="1:10" ht="273.60000000000002">
      <c r="A39" s="29"/>
      <c r="B39" s="5">
        <v>31</v>
      </c>
      <c r="C39" s="8" t="s">
        <v>38</v>
      </c>
      <c r="D39" s="3" t="s">
        <v>116</v>
      </c>
      <c r="E39" s="8"/>
      <c r="F39" s="8" t="s">
        <v>154</v>
      </c>
    </row>
    <row r="40" spans="1:10" ht="129.6">
      <c r="A40" s="29"/>
      <c r="B40" s="5">
        <v>32</v>
      </c>
      <c r="C40" s="8" t="s">
        <v>39</v>
      </c>
      <c r="D40" s="3" t="s">
        <v>116</v>
      </c>
      <c r="E40" s="8"/>
      <c r="F40" s="8" t="s">
        <v>155</v>
      </c>
    </row>
    <row r="41" spans="1:10" ht="20.25" customHeight="1">
      <c r="A41" s="29"/>
      <c r="B41" s="5">
        <v>33</v>
      </c>
      <c r="C41" s="8" t="s">
        <v>42</v>
      </c>
      <c r="D41" s="3" t="s">
        <v>116</v>
      </c>
      <c r="E41" s="8"/>
      <c r="F41" s="8" t="s">
        <v>156</v>
      </c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68" style="2" customWidth="1"/>
    <col min="4" max="4" width="12.6640625" bestFit="1" customWidth="1"/>
    <col min="5" max="5" width="29.6640625" customWidth="1"/>
    <col min="6" max="6" width="32.6640625" customWidth="1"/>
    <col min="7" max="10" width="0" hidden="1" customWidth="1"/>
  </cols>
  <sheetData>
    <row r="1" spans="1:10" ht="19.5" customHeight="1">
      <c r="A1" s="31" t="s">
        <v>16</v>
      </c>
      <c r="B1" s="31"/>
      <c r="C1" s="31"/>
      <c r="D1" s="31"/>
      <c r="E1" s="31"/>
      <c r="F1" s="31"/>
    </row>
    <row r="2" spans="1:10" ht="18.75" customHeight="1" thickBot="1">
      <c r="A2" s="32" t="s">
        <v>25</v>
      </c>
      <c r="B2" s="32"/>
      <c r="C2" s="16"/>
      <c r="D2" s="38" t="s">
        <v>44</v>
      </c>
      <c r="E2" s="39"/>
      <c r="F2" s="21" t="e">
        <f>COUNTIF(D5:D41,"Sim")/(COUNTA(D5:D42)-COUNTIF(D5:D42,"NA"))</f>
        <v>#DIV/0!</v>
      </c>
    </row>
    <row r="3" spans="1:10" ht="15" thickBot="1">
      <c r="A3" s="32" t="s">
        <v>26</v>
      </c>
      <c r="B3" s="32"/>
      <c r="C3" s="13"/>
      <c r="D3" s="42" t="s">
        <v>43</v>
      </c>
      <c r="E3" s="43"/>
      <c r="F3" s="44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3" t="s">
        <v>17</v>
      </c>
      <c r="B5" s="9"/>
      <c r="C5" s="10" t="s">
        <v>2</v>
      </c>
      <c r="D5" s="12"/>
      <c r="E5" s="12"/>
      <c r="F5" s="12"/>
    </row>
    <row r="6" spans="1:10" ht="14.4">
      <c r="A6" s="30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30"/>
      <c r="B7" s="9"/>
      <c r="C7" s="10" t="s">
        <v>3</v>
      </c>
      <c r="D7" s="12"/>
      <c r="E7" s="12"/>
      <c r="F7" s="12"/>
    </row>
    <row r="8" spans="1:10" s="1" customFormat="1" ht="28.8">
      <c r="A8" s="30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28.8">
      <c r="A9" s="30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4.4">
      <c r="A10" s="30"/>
      <c r="B10" s="9"/>
      <c r="C10" s="10" t="s">
        <v>97</v>
      </c>
      <c r="D10" s="12"/>
      <c r="E10" s="12"/>
      <c r="F10" s="12"/>
    </row>
    <row r="11" spans="1:10" ht="28.8">
      <c r="A11" s="30"/>
      <c r="B11" s="23">
        <v>4</v>
      </c>
      <c r="C11" s="24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28.8">
      <c r="A12" s="30"/>
      <c r="B12" s="23">
        <v>5</v>
      </c>
      <c r="C12" s="24" t="s">
        <v>81</v>
      </c>
      <c r="D12" s="3"/>
      <c r="E12" s="8"/>
      <c r="F12" s="8"/>
    </row>
    <row r="13" spans="1:10" ht="14.4">
      <c r="A13" s="30"/>
      <c r="B13" s="5">
        <v>6</v>
      </c>
      <c r="C13" s="8" t="s">
        <v>45</v>
      </c>
      <c r="D13" s="3"/>
      <c r="E13" s="8"/>
      <c r="F13" s="8"/>
    </row>
    <row r="14" spans="1:10" ht="28.8">
      <c r="A14" s="30"/>
      <c r="B14" s="5">
        <v>7</v>
      </c>
      <c r="C14" s="8" t="s">
        <v>47</v>
      </c>
      <c r="D14" s="3"/>
      <c r="E14" s="8"/>
      <c r="F14" s="8"/>
    </row>
    <row r="15" spans="1:10" ht="14.4">
      <c r="A15" s="30"/>
      <c r="B15" s="9"/>
      <c r="C15" s="10" t="s">
        <v>4</v>
      </c>
      <c r="D15" s="12"/>
      <c r="E15" s="12"/>
      <c r="F15" s="12"/>
    </row>
    <row r="16" spans="1:10" ht="14.4">
      <c r="A16" s="30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3" t="s">
        <v>18</v>
      </c>
      <c r="B17" s="9"/>
      <c r="C17" s="10" t="s">
        <v>5</v>
      </c>
      <c r="D17" s="11"/>
      <c r="E17" s="12"/>
      <c r="F17" s="12"/>
    </row>
    <row r="18" spans="1:10" ht="28.8">
      <c r="A18" s="30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28.8">
      <c r="A19" s="30"/>
      <c r="B19" s="23">
        <v>10</v>
      </c>
      <c r="C19" s="24" t="s">
        <v>51</v>
      </c>
      <c r="D19" s="3"/>
      <c r="E19" s="8"/>
      <c r="F19" s="8"/>
    </row>
    <row r="20" spans="1:10" s="1" customFormat="1" ht="28.8">
      <c r="A20" s="30"/>
      <c r="B20" s="5">
        <v>11</v>
      </c>
      <c r="C20" s="8" t="s">
        <v>61</v>
      </c>
      <c r="D20" s="3"/>
      <c r="E20" s="8"/>
      <c r="F20" s="8"/>
    </row>
    <row r="21" spans="1:10" ht="28.8">
      <c r="A21" s="30"/>
      <c r="B21" s="5">
        <v>12</v>
      </c>
      <c r="C21" s="8" t="s">
        <v>74</v>
      </c>
      <c r="D21" s="3"/>
      <c r="E21" s="8"/>
      <c r="F21" s="8"/>
    </row>
    <row r="22" spans="1:10" ht="14.4">
      <c r="A22" s="33" t="s">
        <v>19</v>
      </c>
      <c r="B22" s="9"/>
      <c r="C22" s="10" t="s">
        <v>6</v>
      </c>
      <c r="D22" s="11"/>
      <c r="E22" s="12"/>
      <c r="F22" s="12"/>
    </row>
    <row r="23" spans="1:10" ht="28.8">
      <c r="A23" s="30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28.8">
      <c r="A24" s="30"/>
      <c r="B24" s="5">
        <v>18</v>
      </c>
      <c r="C24" s="8" t="s">
        <v>50</v>
      </c>
      <c r="D24" s="3"/>
      <c r="E24" s="8"/>
      <c r="F24" s="8"/>
    </row>
    <row r="25" spans="1:10" ht="28.8">
      <c r="A25" s="30"/>
      <c r="B25" s="5">
        <v>19</v>
      </c>
      <c r="C25" s="8" t="s">
        <v>99</v>
      </c>
      <c r="D25" s="3"/>
      <c r="E25" s="8"/>
      <c r="F25" s="8"/>
    </row>
    <row r="26" spans="1:10" ht="14.4">
      <c r="A26" s="30"/>
      <c r="B26" s="5">
        <v>21</v>
      </c>
      <c r="C26" s="8" t="s">
        <v>100</v>
      </c>
      <c r="D26" s="3"/>
      <c r="E26" s="8"/>
      <c r="F26" s="8"/>
    </row>
    <row r="27" spans="1:10" ht="14.4">
      <c r="A27" s="30"/>
      <c r="B27" s="5">
        <v>22</v>
      </c>
      <c r="C27" s="8" t="s">
        <v>101</v>
      </c>
      <c r="D27" s="3"/>
      <c r="E27" s="8"/>
      <c r="F27" s="8"/>
    </row>
    <row r="28" spans="1:10" ht="14.4">
      <c r="A28" s="41" t="s">
        <v>11</v>
      </c>
      <c r="B28" s="9"/>
      <c r="C28" s="10" t="s">
        <v>13</v>
      </c>
      <c r="D28" s="11"/>
      <c r="E28" s="12"/>
      <c r="F28" s="12"/>
    </row>
    <row r="29" spans="1:10" ht="14.4">
      <c r="A29" s="41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4.4">
      <c r="A30" s="41"/>
      <c r="B30" s="5">
        <v>24</v>
      </c>
      <c r="C30" s="8" t="s">
        <v>89</v>
      </c>
      <c r="D30" s="3"/>
      <c r="E30" s="8"/>
      <c r="F30" s="8"/>
    </row>
    <row r="31" spans="1:10" ht="28.8">
      <c r="A31" s="41"/>
      <c r="B31" s="5">
        <v>25</v>
      </c>
      <c r="C31" s="8" t="s">
        <v>52</v>
      </c>
      <c r="D31" s="3"/>
      <c r="E31" s="8"/>
      <c r="F31" s="8"/>
    </row>
    <row r="32" spans="1:10" ht="14.4">
      <c r="A32" s="41"/>
      <c r="B32" s="5">
        <v>26</v>
      </c>
      <c r="C32" s="8" t="s">
        <v>88</v>
      </c>
      <c r="D32" s="3"/>
      <c r="E32" s="8"/>
      <c r="F32" s="8"/>
    </row>
    <row r="33" spans="1:10" ht="14.4">
      <c r="A33" s="41"/>
      <c r="B33" s="5">
        <v>27</v>
      </c>
      <c r="C33" s="8" t="s">
        <v>54</v>
      </c>
      <c r="D33" s="3"/>
      <c r="E33" s="8"/>
      <c r="F33" s="8"/>
    </row>
    <row r="34" spans="1:10" ht="14.4">
      <c r="A34" s="41"/>
      <c r="B34" s="5">
        <v>28</v>
      </c>
      <c r="C34" s="8" t="s">
        <v>55</v>
      </c>
      <c r="D34" s="3"/>
      <c r="E34" s="8"/>
      <c r="F34" s="8"/>
    </row>
    <row r="35" spans="1:10" ht="15" customHeight="1">
      <c r="A35" s="28" t="s">
        <v>30</v>
      </c>
      <c r="B35" s="9"/>
      <c r="C35" s="10" t="s">
        <v>56</v>
      </c>
      <c r="D35" s="11"/>
      <c r="E35" s="12"/>
      <c r="F35" s="12"/>
    </row>
    <row r="36" spans="1:10" ht="28.8">
      <c r="A36" s="29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4.4">
      <c r="A37" s="29"/>
      <c r="B37" s="5">
        <v>30</v>
      </c>
      <c r="C37" s="8" t="s">
        <v>39</v>
      </c>
      <c r="D37" s="3"/>
      <c r="E37" s="8"/>
      <c r="F37" s="8"/>
    </row>
    <row r="38" spans="1:10" ht="28.8">
      <c r="A38" s="29"/>
      <c r="B38" s="5">
        <v>31</v>
      </c>
      <c r="C38" s="8" t="s">
        <v>42</v>
      </c>
      <c r="D38" s="3"/>
      <c r="E38" s="8"/>
      <c r="F38" s="8"/>
    </row>
    <row r="39" spans="1:10" ht="14.4">
      <c r="A39" s="29"/>
      <c r="B39" s="9"/>
      <c r="C39" s="10" t="s">
        <v>15</v>
      </c>
      <c r="D39" s="11"/>
      <c r="E39" s="12"/>
      <c r="F39" s="12"/>
    </row>
    <row r="40" spans="1:10" ht="14.4">
      <c r="A40" s="29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4.4">
      <c r="A41" s="29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71.33203125" style="2" bestFit="1" customWidth="1"/>
    <col min="4" max="4" width="12.6640625" bestFit="1" customWidth="1"/>
    <col min="5" max="5" width="29.6640625" customWidth="1"/>
    <col min="6" max="6" width="32.6640625" customWidth="1"/>
    <col min="7" max="10" width="9.109375" hidden="1" customWidth="1"/>
  </cols>
  <sheetData>
    <row r="1" spans="1:10" ht="19.5" customHeight="1">
      <c r="A1" s="31" t="s">
        <v>16</v>
      </c>
      <c r="B1" s="31"/>
      <c r="C1" s="31"/>
      <c r="D1" s="31"/>
      <c r="E1" s="31"/>
      <c r="F1" s="31"/>
    </row>
    <row r="2" spans="1:10" ht="18.75" customHeight="1" thickBot="1">
      <c r="A2" s="32" t="s">
        <v>25</v>
      </c>
      <c r="B2" s="32"/>
      <c r="C2" s="16"/>
      <c r="D2" s="38" t="s">
        <v>44</v>
      </c>
      <c r="E2" s="39"/>
      <c r="F2" s="21" t="e">
        <f>COUNTIF(D5:D42,"Sim")/(COUNTA(D5:D41)-COUNTIF(D5:D41,"NA"))</f>
        <v>#DIV/0!</v>
      </c>
    </row>
    <row r="3" spans="1:10" ht="15" thickBot="1">
      <c r="A3" s="32" t="s">
        <v>26</v>
      </c>
      <c r="B3" s="32"/>
      <c r="C3" s="13"/>
      <c r="D3" s="42" t="s">
        <v>43</v>
      </c>
      <c r="E3" s="43"/>
      <c r="F3" s="44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3" t="s">
        <v>17</v>
      </c>
      <c r="B5" s="9"/>
      <c r="C5" s="10" t="s">
        <v>2</v>
      </c>
      <c r="D5" s="12"/>
      <c r="E5" s="12"/>
      <c r="F5" s="12"/>
    </row>
    <row r="6" spans="1:10" ht="14.4">
      <c r="A6" s="30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30"/>
      <c r="B7" s="9"/>
      <c r="C7" s="10" t="s">
        <v>3</v>
      </c>
      <c r="D7" s="12"/>
      <c r="E7" s="12"/>
      <c r="F7" s="12"/>
    </row>
    <row r="8" spans="1:10" s="1" customFormat="1" ht="28.8">
      <c r="A8" s="30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4.4">
      <c r="A9" s="30"/>
      <c r="B9" s="9"/>
      <c r="C9" s="10" t="s">
        <v>97</v>
      </c>
      <c r="D9" s="12"/>
      <c r="E9" s="12"/>
      <c r="F9" s="12"/>
    </row>
    <row r="10" spans="1:10" ht="28.8">
      <c r="A10" s="30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28.8">
      <c r="A11" s="30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30"/>
      <c r="B12" s="5">
        <v>5</v>
      </c>
      <c r="C12" s="8" t="s">
        <v>45</v>
      </c>
      <c r="D12" s="3"/>
      <c r="E12" s="8"/>
      <c r="F12" s="8"/>
    </row>
    <row r="13" spans="1:10" ht="14.4">
      <c r="A13" s="30"/>
      <c r="B13" s="9"/>
      <c r="C13" s="10" t="s">
        <v>4</v>
      </c>
      <c r="D13" s="12"/>
      <c r="E13" s="12"/>
      <c r="F13" s="12"/>
    </row>
    <row r="14" spans="1:10" ht="14.4">
      <c r="A14" s="30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3" t="s">
        <v>18</v>
      </c>
      <c r="B15" s="9"/>
      <c r="C15" s="10" t="s">
        <v>5</v>
      </c>
      <c r="D15" s="11"/>
      <c r="E15" s="12"/>
      <c r="F15" s="12"/>
    </row>
    <row r="16" spans="1:10" ht="14.4">
      <c r="A16" s="30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4.4">
      <c r="A17" s="33" t="s">
        <v>19</v>
      </c>
      <c r="B17" s="9"/>
      <c r="C17" s="10" t="s">
        <v>6</v>
      </c>
      <c r="D17" s="11"/>
      <c r="E17" s="12"/>
      <c r="F17" s="12"/>
    </row>
    <row r="18" spans="1:10" ht="14.4">
      <c r="A18" s="30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28.8">
      <c r="A19" s="30"/>
      <c r="B19" s="5">
        <v>13</v>
      </c>
      <c r="C19" s="8" t="s">
        <v>50</v>
      </c>
      <c r="D19" s="3"/>
      <c r="E19" s="8"/>
      <c r="F19" s="8"/>
    </row>
    <row r="20" spans="1:10" ht="28.8">
      <c r="A20" s="30"/>
      <c r="B20" s="5">
        <v>14</v>
      </c>
      <c r="C20" s="8" t="s">
        <v>99</v>
      </c>
      <c r="D20" s="3"/>
      <c r="E20" s="8"/>
      <c r="F20" s="8"/>
    </row>
    <row r="21" spans="1:10" ht="14.4">
      <c r="A21" s="30"/>
      <c r="B21" s="5">
        <v>15</v>
      </c>
      <c r="C21" s="8" t="s">
        <v>100</v>
      </c>
      <c r="D21" s="3"/>
      <c r="E21" s="8"/>
      <c r="F21" s="8"/>
    </row>
    <row r="22" spans="1:10" ht="14.4">
      <c r="A22" s="30"/>
      <c r="B22" s="5">
        <v>16</v>
      </c>
      <c r="C22" s="8" t="s">
        <v>101</v>
      </c>
      <c r="D22" s="3"/>
      <c r="E22" s="8"/>
      <c r="F22" s="8"/>
    </row>
    <row r="23" spans="1:10" ht="14.4">
      <c r="A23" s="33" t="s">
        <v>20</v>
      </c>
      <c r="B23" s="9"/>
      <c r="C23" s="10" t="s">
        <v>8</v>
      </c>
      <c r="D23" s="11"/>
      <c r="E23" s="12"/>
      <c r="F23" s="12"/>
    </row>
    <row r="24" spans="1:10" ht="28.8">
      <c r="A24" s="30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28.8">
      <c r="A25" s="30"/>
      <c r="B25" s="5">
        <v>18</v>
      </c>
      <c r="C25" s="8" t="s">
        <v>57</v>
      </c>
      <c r="D25" s="3"/>
      <c r="E25" s="8"/>
      <c r="F25" s="8"/>
    </row>
    <row r="26" spans="1:10" ht="14.4">
      <c r="A26" s="30"/>
      <c r="B26" s="5">
        <v>19</v>
      </c>
      <c r="C26" s="8" t="s">
        <v>58</v>
      </c>
      <c r="D26" s="3"/>
      <c r="E26" s="8"/>
      <c r="F26" s="8"/>
    </row>
    <row r="27" spans="1:10" ht="14.4">
      <c r="A27" s="30"/>
      <c r="B27" s="5">
        <v>21</v>
      </c>
      <c r="C27" s="8" t="s">
        <v>59</v>
      </c>
      <c r="D27" s="3"/>
      <c r="E27" s="8"/>
      <c r="F27" s="8"/>
    </row>
    <row r="28" spans="1:10" ht="14.4">
      <c r="A28" s="30"/>
      <c r="B28" s="5">
        <v>22</v>
      </c>
      <c r="C28" s="8" t="s">
        <v>103</v>
      </c>
      <c r="D28" s="3"/>
      <c r="E28" s="8"/>
      <c r="F28" s="8"/>
    </row>
    <row r="29" spans="1:10" ht="14.4">
      <c r="A29" s="41" t="s">
        <v>11</v>
      </c>
      <c r="B29" s="9"/>
      <c r="C29" s="10" t="s">
        <v>13</v>
      </c>
      <c r="D29" s="11"/>
      <c r="E29" s="12"/>
      <c r="F29" s="12"/>
    </row>
    <row r="30" spans="1:10" ht="14.4">
      <c r="A30" s="41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28.8">
      <c r="A31" s="41"/>
      <c r="B31" s="5">
        <v>26</v>
      </c>
      <c r="C31" s="8" t="s">
        <v>104</v>
      </c>
      <c r="D31" s="3"/>
      <c r="E31" s="8"/>
      <c r="F31" s="8"/>
    </row>
    <row r="32" spans="1:10" ht="14.4">
      <c r="A32" s="41"/>
      <c r="B32" s="5">
        <v>27</v>
      </c>
      <c r="C32" s="8" t="s">
        <v>53</v>
      </c>
      <c r="D32" s="3"/>
      <c r="E32" s="8"/>
      <c r="F32" s="8"/>
    </row>
    <row r="33" spans="1:10" ht="14.4">
      <c r="A33" s="41"/>
      <c r="B33" s="5">
        <v>28</v>
      </c>
      <c r="C33" s="8" t="s">
        <v>54</v>
      </c>
      <c r="D33" s="3"/>
      <c r="E33" s="8"/>
      <c r="F33" s="8"/>
    </row>
    <row r="34" spans="1:10" ht="14.4">
      <c r="A34" s="41"/>
      <c r="B34" s="5">
        <v>29</v>
      </c>
      <c r="C34" s="8" t="s">
        <v>55</v>
      </c>
      <c r="D34" s="3"/>
      <c r="E34" s="8"/>
      <c r="F34" s="8"/>
    </row>
    <row r="35" spans="1:10" ht="15" customHeight="1">
      <c r="A35" s="28" t="s">
        <v>30</v>
      </c>
      <c r="B35" s="9"/>
      <c r="C35" s="10" t="s">
        <v>56</v>
      </c>
      <c r="D35" s="11"/>
      <c r="E35" s="12"/>
      <c r="F35" s="12"/>
    </row>
    <row r="36" spans="1:10" ht="28.8">
      <c r="A36" s="29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4.4">
      <c r="A37" s="29"/>
      <c r="B37" s="5">
        <v>31</v>
      </c>
      <c r="C37" s="8" t="s">
        <v>39</v>
      </c>
      <c r="D37" s="3"/>
      <c r="E37" s="8"/>
      <c r="F37" s="8"/>
    </row>
    <row r="38" spans="1:10" ht="28.8">
      <c r="A38" s="29"/>
      <c r="B38" s="5">
        <v>32</v>
      </c>
      <c r="C38" s="8" t="s">
        <v>42</v>
      </c>
      <c r="D38" s="3"/>
      <c r="E38" s="8"/>
      <c r="F38" s="8"/>
    </row>
    <row r="39" spans="1:10" ht="14.4">
      <c r="A39" s="29"/>
      <c r="B39" s="5"/>
      <c r="C39" s="8" t="s">
        <v>105</v>
      </c>
      <c r="D39" s="3"/>
      <c r="E39" s="8"/>
      <c r="F39" s="8"/>
    </row>
    <row r="40" spans="1:10" ht="14.4">
      <c r="A40" s="29"/>
      <c r="B40" s="9"/>
      <c r="C40" s="10" t="s">
        <v>15</v>
      </c>
      <c r="D40" s="11"/>
      <c r="E40" s="12"/>
      <c r="F40" s="12"/>
    </row>
    <row r="41" spans="1:10" ht="14.4">
      <c r="A41" s="29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4.4">
      <c r="A42" s="29"/>
      <c r="B42" s="5">
        <v>34</v>
      </c>
      <c r="C42" s="8" t="s">
        <v>107</v>
      </c>
      <c r="D42" s="3"/>
      <c r="E42" s="8"/>
      <c r="F42" s="8"/>
    </row>
    <row r="51" spans="2:3" ht="14.4">
      <c r="B51"/>
      <c r="C51"/>
    </row>
    <row r="52" spans="2:3" ht="14.4">
      <c r="B52"/>
      <c r="C52"/>
    </row>
    <row r="53" spans="2:3" ht="14.4">
      <c r="B53"/>
      <c r="C53"/>
    </row>
    <row r="54" spans="2:3" ht="14.4">
      <c r="B54"/>
      <c r="C54"/>
    </row>
    <row r="55" spans="2:3" ht="14.4">
      <c r="B55"/>
      <c r="C55"/>
    </row>
    <row r="56" spans="2:3" ht="14.4">
      <c r="B56"/>
      <c r="C56"/>
    </row>
    <row r="57" spans="2:3" ht="14.4">
      <c r="B57"/>
      <c r="C57"/>
    </row>
  </sheetData>
  <mergeCells count="11">
    <mergeCell ref="A1:F1"/>
    <mergeCell ref="A2:B2"/>
    <mergeCell ref="A3:B3"/>
    <mergeCell ref="D2:E2"/>
    <mergeCell ref="D3:F3"/>
    <mergeCell ref="A5:A14"/>
    <mergeCell ref="A15:A16"/>
    <mergeCell ref="A17:A22"/>
    <mergeCell ref="A29:A34"/>
    <mergeCell ref="A35:A42"/>
    <mergeCell ref="A23:A28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topLeftCell="A28" workbookViewId="0">
      <selection activeCell="C3" sqref="C3"/>
    </sheetView>
  </sheetViews>
  <sheetFormatPr defaultRowHeight="17.399999999999999"/>
  <cols>
    <col min="1" max="1" width="21.109375" customWidth="1"/>
    <col min="2" max="2" width="5.33203125" style="4" customWidth="1"/>
    <col min="3" max="3" width="71.33203125" style="2" bestFit="1" customWidth="1"/>
    <col min="4" max="4" width="12.6640625" bestFit="1" customWidth="1"/>
    <col min="5" max="5" width="29.6640625" customWidth="1"/>
    <col min="6" max="6" width="32.6640625" customWidth="1"/>
    <col min="7" max="10" width="0" hidden="1" customWidth="1"/>
  </cols>
  <sheetData>
    <row r="1" spans="1:10" ht="19.5" customHeight="1">
      <c r="A1" s="31" t="s">
        <v>16</v>
      </c>
      <c r="B1" s="31"/>
      <c r="C1" s="31"/>
      <c r="D1" s="31"/>
      <c r="E1" s="31"/>
      <c r="F1" s="31"/>
    </row>
    <row r="2" spans="1:10" ht="18.75" customHeight="1" thickBot="1">
      <c r="A2" s="32" t="s">
        <v>25</v>
      </c>
      <c r="B2" s="32"/>
      <c r="C2" s="16"/>
      <c r="D2" s="38" t="s">
        <v>44</v>
      </c>
      <c r="E2" s="39"/>
      <c r="F2" s="21" t="e">
        <f>COUNTIF(D5:D43,"Sim")/(COUNTA(D5:D43)-COUNTIF(D5:D43,"NA"))</f>
        <v>#DIV/0!</v>
      </c>
    </row>
    <row r="3" spans="1:10" ht="15" thickBot="1">
      <c r="A3" s="32" t="s">
        <v>26</v>
      </c>
      <c r="B3" s="32"/>
      <c r="C3" s="13"/>
      <c r="D3" s="42" t="s">
        <v>43</v>
      </c>
      <c r="E3" s="43"/>
      <c r="F3" s="44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3" t="s">
        <v>17</v>
      </c>
      <c r="B5" s="9"/>
      <c r="C5" s="10" t="s">
        <v>2</v>
      </c>
      <c r="D5" s="12"/>
      <c r="E5" s="12"/>
      <c r="F5" s="12"/>
    </row>
    <row r="6" spans="1:10" ht="14.4">
      <c r="A6" s="30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30"/>
      <c r="B7" s="9"/>
      <c r="C7" s="10" t="s">
        <v>3</v>
      </c>
      <c r="D7" s="12"/>
      <c r="E7" s="12"/>
      <c r="F7" s="12"/>
    </row>
    <row r="8" spans="1:10" s="1" customFormat="1" ht="28.8">
      <c r="A8" s="30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4.4">
      <c r="A9" s="30"/>
      <c r="B9" s="9"/>
      <c r="C9" s="10" t="s">
        <v>14</v>
      </c>
      <c r="D9" s="12"/>
      <c r="E9" s="12"/>
      <c r="F9" s="12"/>
    </row>
    <row r="10" spans="1:10" ht="28.8">
      <c r="A10" s="30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28.8">
      <c r="A11" s="30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30"/>
      <c r="B12" s="5">
        <v>5</v>
      </c>
      <c r="C12" s="8" t="s">
        <v>45</v>
      </c>
      <c r="D12" s="3"/>
      <c r="E12" s="8"/>
      <c r="F12" s="8"/>
    </row>
    <row r="13" spans="1:10" ht="14.4">
      <c r="A13" s="30"/>
      <c r="B13" s="9"/>
      <c r="C13" s="10" t="s">
        <v>4</v>
      </c>
      <c r="D13" s="12"/>
      <c r="E13" s="12"/>
      <c r="F13" s="12"/>
    </row>
    <row r="14" spans="1:10" ht="14.4">
      <c r="A14" s="30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3" t="s">
        <v>18</v>
      </c>
      <c r="B15" s="9"/>
      <c r="C15" s="10" t="s">
        <v>5</v>
      </c>
      <c r="D15" s="11"/>
      <c r="E15" s="12"/>
      <c r="F15" s="12"/>
    </row>
    <row r="16" spans="1:10" ht="14.4">
      <c r="A16" s="30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3" t="s">
        <v>19</v>
      </c>
      <c r="B17" s="9"/>
      <c r="C17" s="10" t="s">
        <v>6</v>
      </c>
      <c r="D17" s="11"/>
      <c r="E17" s="12"/>
      <c r="F17" s="12"/>
    </row>
    <row r="18" spans="1:10" ht="14.4">
      <c r="A18" s="30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4.4">
      <c r="A19" s="30"/>
      <c r="B19" s="5">
        <v>10</v>
      </c>
      <c r="C19" s="8" t="s">
        <v>64</v>
      </c>
      <c r="D19" s="3"/>
      <c r="E19" s="8"/>
      <c r="F19" s="8"/>
    </row>
    <row r="20" spans="1:10" ht="28.8">
      <c r="A20" s="30"/>
      <c r="B20" s="5">
        <v>11</v>
      </c>
      <c r="C20" s="8" t="s">
        <v>99</v>
      </c>
      <c r="D20" s="3"/>
      <c r="E20" s="8"/>
      <c r="F20" s="8"/>
    </row>
    <row r="21" spans="1:10" ht="14.4">
      <c r="A21" s="34"/>
      <c r="B21" s="5">
        <v>13</v>
      </c>
      <c r="C21" s="8" t="s">
        <v>49</v>
      </c>
      <c r="D21" s="3"/>
      <c r="E21" s="8"/>
      <c r="F21" s="8"/>
    </row>
    <row r="22" spans="1:10" ht="14.4">
      <c r="A22" s="33" t="s">
        <v>20</v>
      </c>
      <c r="B22" s="9"/>
      <c r="C22" s="10" t="s">
        <v>8</v>
      </c>
      <c r="D22" s="11"/>
      <c r="E22" s="12"/>
      <c r="F22" s="12"/>
    </row>
    <row r="23" spans="1:10" ht="14.4">
      <c r="A23" s="30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4.4">
      <c r="A24" s="30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33" t="s">
        <v>21</v>
      </c>
      <c r="B25" s="9"/>
      <c r="C25" s="10" t="s">
        <v>9</v>
      </c>
      <c r="D25" s="11"/>
      <c r="E25" s="12"/>
      <c r="F25" s="12"/>
    </row>
    <row r="26" spans="1:10" s="1" customFormat="1" ht="28.8">
      <c r="A26" s="30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3.2">
      <c r="A27" s="30"/>
      <c r="B27" s="5">
        <v>25</v>
      </c>
      <c r="C27" s="8" t="s">
        <v>62</v>
      </c>
      <c r="D27" s="3"/>
      <c r="E27" s="8"/>
      <c r="F27" s="8"/>
    </row>
    <row r="28" spans="1:10" ht="14.4">
      <c r="A28" s="30"/>
      <c r="B28" s="9"/>
      <c r="C28" s="10" t="s">
        <v>10</v>
      </c>
      <c r="D28" s="11"/>
      <c r="E28" s="12"/>
      <c r="F28" s="12"/>
    </row>
    <row r="29" spans="1:10" ht="28.8">
      <c r="A29" s="30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4.4">
      <c r="A30" s="41" t="s">
        <v>11</v>
      </c>
      <c r="B30" s="9"/>
      <c r="C30" s="10" t="s">
        <v>13</v>
      </c>
      <c r="D30" s="11"/>
      <c r="E30" s="12"/>
      <c r="F30" s="12"/>
    </row>
    <row r="31" spans="1:10" ht="14.4">
      <c r="A31" s="41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28.8">
      <c r="A32" s="41"/>
      <c r="B32" s="5">
        <v>20</v>
      </c>
      <c r="C32" s="8" t="s">
        <v>104</v>
      </c>
      <c r="D32" s="3"/>
      <c r="E32" s="8"/>
      <c r="F32" s="8"/>
    </row>
    <row r="33" spans="1:10" ht="14.4">
      <c r="A33" s="41"/>
      <c r="B33" s="5">
        <v>21</v>
      </c>
      <c r="C33" s="8" t="s">
        <v>53</v>
      </c>
      <c r="D33" s="3"/>
      <c r="E33" s="8"/>
      <c r="F33" s="8"/>
    </row>
    <row r="34" spans="1:10" ht="14.4">
      <c r="A34" s="41"/>
      <c r="B34" s="5">
        <v>24</v>
      </c>
      <c r="C34" s="8" t="s">
        <v>113</v>
      </c>
      <c r="D34" s="3"/>
      <c r="E34" s="8"/>
      <c r="F34" s="8"/>
    </row>
    <row r="35" spans="1:10" ht="14.4">
      <c r="A35" s="41"/>
      <c r="B35" s="5">
        <v>25</v>
      </c>
      <c r="C35" s="8" t="s">
        <v>55</v>
      </c>
      <c r="D35" s="3"/>
      <c r="E35" s="8"/>
      <c r="F35" s="8"/>
    </row>
    <row r="36" spans="1:10" ht="15" customHeight="1">
      <c r="A36" s="28" t="s">
        <v>30</v>
      </c>
      <c r="B36" s="9"/>
      <c r="C36" s="10" t="s">
        <v>56</v>
      </c>
      <c r="D36" s="11"/>
      <c r="E36" s="12"/>
      <c r="F36" s="12"/>
    </row>
    <row r="37" spans="1:10" ht="28.8">
      <c r="A37" s="29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4.4">
      <c r="A38" s="29"/>
      <c r="B38" s="5">
        <v>27</v>
      </c>
      <c r="C38" s="8" t="s">
        <v>39</v>
      </c>
      <c r="D38" s="3"/>
      <c r="E38" s="8"/>
      <c r="F38" s="8"/>
    </row>
    <row r="39" spans="1:10" ht="28.8">
      <c r="A39" s="29"/>
      <c r="B39" s="5">
        <v>28</v>
      </c>
      <c r="C39" s="8" t="s">
        <v>42</v>
      </c>
      <c r="D39" s="3"/>
      <c r="E39" s="8"/>
      <c r="F39" s="8"/>
    </row>
    <row r="40" spans="1:10" ht="14.4">
      <c r="A40" s="29"/>
      <c r="B40" s="5"/>
      <c r="C40" s="8" t="s">
        <v>105</v>
      </c>
      <c r="D40" s="3"/>
      <c r="E40" s="8"/>
      <c r="F40" s="8"/>
    </row>
    <row r="41" spans="1:10" ht="14.4">
      <c r="A41" s="29"/>
      <c r="B41" s="9"/>
      <c r="C41" s="10" t="s">
        <v>15</v>
      </c>
      <c r="D41" s="11"/>
      <c r="E41" s="12"/>
      <c r="F41" s="12"/>
    </row>
    <row r="42" spans="1:10" ht="14.4">
      <c r="A42" s="29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4.4">
      <c r="A43" s="29"/>
      <c r="B43" s="5">
        <v>30</v>
      </c>
      <c r="C43" s="8" t="s">
        <v>107</v>
      </c>
      <c r="D43" s="3"/>
      <c r="E43" s="8"/>
      <c r="F43" s="8"/>
    </row>
    <row r="52" spans="2:3" ht="14.4">
      <c r="B52"/>
      <c r="C52"/>
    </row>
    <row r="53" spans="2:3" ht="14.4">
      <c r="B53"/>
      <c r="C53"/>
    </row>
    <row r="54" spans="2:3" ht="14.4">
      <c r="B54"/>
      <c r="C54"/>
    </row>
    <row r="55" spans="2:3" ht="14.4">
      <c r="B55"/>
      <c r="C55"/>
    </row>
    <row r="56" spans="2:3" ht="14.4">
      <c r="B56"/>
      <c r="C56"/>
    </row>
    <row r="57" spans="2:3" ht="14.4">
      <c r="B57"/>
      <c r="C57"/>
    </row>
    <row r="58" spans="2:3" ht="14.4">
      <c r="B58"/>
      <c r="C58"/>
    </row>
  </sheetData>
  <mergeCells count="12">
    <mergeCell ref="A5:A14"/>
    <mergeCell ref="A15:A16"/>
    <mergeCell ref="A1:F1"/>
    <mergeCell ref="A2:B2"/>
    <mergeCell ref="A3:B3"/>
    <mergeCell ref="D2:E2"/>
    <mergeCell ref="D3:F3"/>
    <mergeCell ref="A22:A24"/>
    <mergeCell ref="A30:A35"/>
    <mergeCell ref="A36:A43"/>
    <mergeCell ref="A17:A21"/>
    <mergeCell ref="A25:A29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2026-08-31T14:52:20Z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