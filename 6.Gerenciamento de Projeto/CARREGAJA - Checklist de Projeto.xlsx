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B10FDBE1-5024-4C05-929B-C2422D6F8954}" xr6:coauthVersionLast="47" xr6:coauthVersionMax="47" xr10:uidLastSave="{00000000-0000-0000-0000-000000000000}"/>
  <bookViews>
    <workbookView xWindow="-120" yWindow="-120" windowWidth="29040" windowHeight="15720" tabRatio="666" activeTab="2" xr2:uid="{00000000-000D-0000-FFFF-FFFF00000000}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4" l="1"/>
  <c r="J37" i="4"/>
  <c r="I37" i="4"/>
  <c r="H37" i="4"/>
  <c r="G37" i="4"/>
  <c r="J42" i="4"/>
  <c r="I42" i="4"/>
  <c r="H42" i="4"/>
  <c r="G42" i="4"/>
  <c r="J31" i="4"/>
  <c r="I31" i="4"/>
  <c r="H31" i="4"/>
  <c r="G29" i="4"/>
  <c r="J29" i="4"/>
  <c r="I29" i="4"/>
  <c r="H29" i="4"/>
  <c r="J26" i="4"/>
  <c r="I26" i="4"/>
  <c r="H26" i="4"/>
  <c r="G26" i="4"/>
  <c r="J23" i="4"/>
  <c r="I23" i="4"/>
  <c r="H23" i="4"/>
  <c r="G23" i="4"/>
  <c r="J18" i="4"/>
  <c r="I18" i="4"/>
  <c r="H18" i="4"/>
  <c r="G18" i="4"/>
  <c r="J10" i="4"/>
  <c r="I10" i="4"/>
  <c r="H10" i="4"/>
  <c r="G10" i="4"/>
  <c r="J16" i="4"/>
  <c r="I16" i="4"/>
  <c r="H16" i="4"/>
  <c r="G16" i="4"/>
  <c r="Q29" i="8"/>
  <c r="P29" i="8"/>
  <c r="O29" i="8"/>
  <c r="N29" i="8"/>
  <c r="J14" i="4"/>
  <c r="I14" i="4"/>
  <c r="H14" i="4"/>
  <c r="G14" i="4"/>
  <c r="J8" i="4"/>
  <c r="I8" i="4"/>
  <c r="H8" i="4"/>
  <c r="G8" i="4"/>
  <c r="H6" i="4"/>
  <c r="J6" i="4"/>
  <c r="I6" i="4"/>
  <c r="G6" i="4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F2" i="5"/>
  <c r="B3" i="6" s="1"/>
  <c r="N27" i="8" l="1"/>
  <c r="N32" i="8"/>
  <c r="O34" i="8"/>
  <c r="O37" i="8"/>
  <c r="P25" i="8"/>
  <c r="N30" i="8"/>
  <c r="N33" i="8"/>
  <c r="N28" i="8"/>
  <c r="N31" i="8"/>
  <c r="P35" i="8"/>
  <c r="P36" i="8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<sst xmlns="http://schemas.openxmlformats.org/spreadsheetml/2006/main" count="290" uniqueCount="114">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</sst>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7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 vertical="top" wrapText="1" shrinkToFi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 shrinkToFi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vertical="top" wrapText="1"/>
    </xf>
    <xf numFmtId="0" fontId="12" fillId="4" borderId="1" xfId="0" applyFont="1" applyFill="1" applyBorder="1" applyAlignment="1">
      <alignment horizontal="center" vertical="top" wrapText="1" shrinkToFit="1"/>
    </xf>
    <xf numFmtId="0" fontId="0" fillId="4" borderId="1" xfId="0" applyFill="1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4" fillId="4" borderId="1" xfId="0" applyFont="1" applyFill="1" applyBorder="1" applyAlignment="1">
      <alignment horizontal="center" vertical="top" wrapText="1" shrinkToFi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164" fontId="9" fillId="4" borderId="5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textRotation="90" shrinkToFit="1"/>
    </xf>
    <xf numFmtId="0" fontId="6" fillId="2" borderId="6" xfId="0" applyFont="1" applyFill="1" applyBorder="1" applyAlignment="1">
      <alignment horizontal="center" vertical="center" textRotation="90" shrinkToFit="1"/>
    </xf>
    <xf numFmtId="0" fontId="6" fillId="2" borderId="3" xfId="0" applyFont="1" applyFill="1" applyBorder="1" applyAlignment="1">
      <alignment horizontal="center" vertical="center" textRotation="90" shrinkToFi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textRotation="90" shrinkToFit="1"/>
    </xf>
    <xf numFmtId="0" fontId="6" fillId="2" borderId="4" xfId="0" applyFont="1" applyFill="1" applyBorder="1" applyAlignment="1">
      <alignment horizontal="center" vertical="center" textRotation="90" shrinkToFit="1"/>
    </xf>
    <xf numFmtId="0" fontId="16" fillId="4" borderId="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 shrinkToFit="1"/>
    </xf>
  </cellXfs>
  <cellStyles count="2">
    <cellStyle name="Normal" xfId="0" builtinId="0"/>
    <cellStyle name="Porcentagem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432A3B-87A4-4250-B6CB-A5A85616B62F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980d1984-b891-49ff-a88b-1ef10bc5a61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F5" sqref="F5"/>
    </sheetView>
  </sheetViews>
  <sheetFormatPr defaultRowHeight="15"/>
  <cols>
    <col min="1" max="1" width="24.28515625" bestFit="1" customWidth="1"/>
    <col min="2" max="2" width="39" style="15" customWidth="1"/>
  </cols>
  <sheetData>
    <row r="1" spans="1:2" ht="18.75">
      <c r="A1" s="55" t="s">
        <v>70</v>
      </c>
      <c r="B1" s="55"/>
    </row>
    <row r="2" spans="1:2">
      <c r="A2" s="16" t="s">
        <v>69</v>
      </c>
      <c r="B2" s="17" t="s">
        <v>71</v>
      </c>
    </row>
    <row r="3" spans="1:2">
      <c r="A3" s="16" t="s">
        <v>65</v>
      </c>
      <c r="B3" s="18" t="e">
        <f>'Ver-Iniciação1'!$F$2</f>
        <v>#DIV/0!</v>
      </c>
    </row>
    <row r="4" spans="1:2">
      <c r="A4" s="16" t="s">
        <v>66</v>
      </c>
      <c r="B4" s="18" t="e">
        <f>'Ver-Elaboração1'!$F$2</f>
        <v>#DIV/0!</v>
      </c>
    </row>
    <row r="5" spans="1:2">
      <c r="A5" s="16" t="s">
        <v>67</v>
      </c>
      <c r="B5" s="18" t="e">
        <f>'Ver-Construção1'!$F$2</f>
        <v>#DIV/0!</v>
      </c>
    </row>
    <row r="6" spans="1:2">
      <c r="A6" s="16" t="s">
        <v>68</v>
      </c>
      <c r="B6" s="18" t="e">
        <f>'Ver-Transição1'!$F$2</f>
        <v>#DIV/0!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2C1B-A599-4159-99C1-DE703E343043}">
  <dimension ref="A1:R37"/>
  <sheetViews>
    <sheetView zoomScale="55" zoomScaleNormal="55" workbookViewId="0">
      <selection activeCell="AA36" sqref="AA36"/>
    </sheetView>
  </sheetViews>
  <sheetFormatPr defaultRowHeight="15"/>
  <cols>
    <col min="1" max="1" width="18.28515625" customWidth="1"/>
    <col min="2" max="2" width="8.140625" customWidth="1"/>
    <col min="3" max="3" width="17.140625" bestFit="1" customWidth="1"/>
    <col min="4" max="4" width="6.85546875" customWidth="1"/>
    <col min="5" max="5" width="6.42578125" customWidth="1"/>
    <col min="6" max="6" width="6.85546875" customWidth="1"/>
    <col min="14" max="14" width="13.140625" customWidth="1"/>
    <col min="16" max="16" width="11.285156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2" t="e">
        <f>('Ver-Iniciação1'!$G$5/SUM('Ver-Iniciação1'!$G$5:'Ver-Iniciação1'!$J$5))</f>
        <v>#DIV/0!</v>
      </c>
      <c r="C2" s="22" t="e">
        <f>('Ver-Iniciação1'!$H$5/SUM('Ver-Iniciação1'!$G$5:'Ver-Iniciação1'!$J$5))</f>
        <v>#DIV/0!</v>
      </c>
      <c r="D2" s="22" t="e">
        <f>('Ver-Iniciação1'!$I$5/SUM('Ver-Iniciação1'!$G$5:'Ver-Iniciação1'!$J$5))</f>
        <v>#DIV/0!</v>
      </c>
      <c r="E2" s="22" t="e">
        <f>('Ver-Iniciação1'!$J$5/SUM('Ver-Iniciação1'!$G$5:'Ver-Iniciação1'!$J$5))</f>
        <v>#DIV/0!</v>
      </c>
      <c r="N2" t="s">
        <v>2</v>
      </c>
      <c r="O2" s="22" t="e">
        <f>('Ver-Elaboração1'!$G$6/SUM('Ver-Elaboração1'!$G$6:'Ver-Elaboração1'!$J$6))</f>
        <v>#DIV/0!</v>
      </c>
      <c r="P2" s="22" t="e">
        <f>('Ver-Elaboração1'!$H$6/SUM('Ver-Elaboração1'!$G$6:'Ver-Elaboração1'!$J$6))</f>
        <v>#DIV/0!</v>
      </c>
      <c r="Q2" s="22" t="e">
        <f>('Ver-Elaboração1'!$I$6/SUM('Ver-Elaboração1'!$G$6:'Ver-Elaboração1'!$J$6))</f>
        <v>#DIV/0!</v>
      </c>
      <c r="R2" s="22" t="e">
        <f>('Ver-Elaboração1'!$J$6/SUM('Ver-Elaboração1'!$G$6:'Ver-Elaboração1'!$J$6))</f>
        <v>#DIV/0!</v>
      </c>
    </row>
    <row r="3" spans="1:18">
      <c r="A3" t="s">
        <v>2</v>
      </c>
      <c r="B3" s="22" t="e">
        <f>('Ver-Iniciação1'!$G$7/SUM('Ver-Iniciação1'!$G$7:'Ver-Iniciação1'!$J$7))</f>
        <v>#DIV/0!</v>
      </c>
      <c r="C3" s="22" t="e">
        <f>('Ver-Iniciação1'!$H$7/SUM('Ver-Iniciação1'!$G$7:'Ver-Iniciação1'!$J$7))</f>
        <v>#DIV/0!</v>
      </c>
      <c r="D3" s="22" t="e">
        <f>('Ver-Iniciação1'!$I$7/SUM('Ver-Iniciação1'!$G$7:'Ver-Iniciação1'!$J$7))</f>
        <v>#DIV/0!</v>
      </c>
      <c r="E3" s="22" t="e">
        <f>('Ver-Iniciação1'!$J$7/SUM('Ver-Iniciação1'!$G$7:'Ver-Iniciação1'!$J$7))</f>
        <v>#DIV/0!</v>
      </c>
      <c r="N3" t="s">
        <v>3</v>
      </c>
      <c r="O3" s="22" t="e">
        <f>('Ver-Elaboração1'!$G$8/SUM('Ver-Elaboração1'!$G$8:'Ver-Elaboração1'!$J$8))</f>
        <v>#DIV/0!</v>
      </c>
      <c r="P3" s="22" t="e">
        <f>('Ver-Elaboração1'!$H$8/SUM('Ver-Elaboração1'!$G$8:'Ver-Elaboração1'!$J$8))</f>
        <v>#DIV/0!</v>
      </c>
      <c r="Q3" s="22" t="e">
        <f>('Ver-Elaboração1'!$I$8/SUM('Ver-Elaboração1'!$G$8:'Ver-Elaboração1'!$J$8))</f>
        <v>#DIV/0!</v>
      </c>
      <c r="R3" s="22" t="e">
        <f>('Ver-Elaboração1'!$J$8/SUM('Ver-Elaboração1'!$G$8:'Ver-Elaboração1'!$J$8))</f>
        <v>#DIV/0!</v>
      </c>
    </row>
    <row r="4" spans="1:18">
      <c r="A4" t="s">
        <v>3</v>
      </c>
      <c r="B4" s="22" t="e">
        <f>('Ver-Iniciação1'!$G$13/SUM('Ver-Iniciação1'!$G$13:'Ver-Iniciação1'!$J$13))</f>
        <v>#DIV/0!</v>
      </c>
      <c r="C4" s="22" t="e">
        <f>('Ver-Iniciação1'!$H$13/SUM('Ver-Iniciação1'!$G$13:'Ver-Iniciação1'!$J$13))</f>
        <v>#DIV/0!</v>
      </c>
      <c r="D4" s="22" t="e">
        <f>('Ver-Iniciação1'!$I$13/SUM('Ver-Iniciação1'!$G$13:'Ver-Iniciação1'!$J$13))</f>
        <v>#DIV/0!</v>
      </c>
      <c r="E4" s="22" t="e">
        <f>('Ver-Iniciação1'!$J$13/SUM('Ver-Iniciação1'!$G$13:'Ver-Iniciação1'!$J$13))</f>
        <v>#DIV/0!</v>
      </c>
      <c r="N4" t="s">
        <v>14</v>
      </c>
      <c r="O4" s="22" t="e">
        <f>('Ver-Elaboração1'!$G$11/SUM('Ver-Elaboração1'!$G$11:'Ver-Elaboração1'!$J$11))</f>
        <v>#DIV/0!</v>
      </c>
      <c r="P4" s="22" t="e">
        <f>('Ver-Elaboração1'!$H$11/SUM('Ver-Elaboração1'!$G$11:'Ver-Elaboração1'!$J$11))</f>
        <v>#DIV/0!</v>
      </c>
      <c r="Q4" s="22" t="e">
        <f>('Ver-Elaboração1'!$I$11/SUM('Ver-Elaboração1'!$G$11:'Ver-Elaboração1'!$J$11))</f>
        <v>#DIV/0!</v>
      </c>
      <c r="R4" s="22" t="e">
        <f>('Ver-Elaboração1'!$J$11/SUM('Ver-Elaboração1'!$G$11:'Ver-Elaboração1'!$J$11))</f>
        <v>#DIV/0!</v>
      </c>
    </row>
    <row r="5" spans="1:18">
      <c r="A5" t="s">
        <v>14</v>
      </c>
      <c r="B5" s="22" t="e">
        <f>('Ver-Iniciação1'!$G$19/SUM('Ver-Iniciação1'!$G$19:'Ver-Iniciação1'!$J$19))</f>
        <v>#DIV/0!</v>
      </c>
      <c r="C5" s="22" t="e">
        <f>('Ver-Iniciação1'!$H$19/SUM('Ver-Iniciação1'!$G$19:'Ver-Iniciação1'!$J$19))</f>
        <v>#DIV/0!</v>
      </c>
      <c r="D5" s="22" t="e">
        <f>('Ver-Iniciação1'!$I$19/SUM('Ver-Iniciação1'!$G$19:'Ver-Iniciação1'!$J$19))</f>
        <v>#DIV/0!</v>
      </c>
      <c r="E5" s="22" t="e">
        <f>('Ver-Iniciação1'!$J$19/SUM('Ver-Iniciação1'!$G$19:'Ver-Iniciação1'!$J$19))</f>
        <v>#DIV/0!</v>
      </c>
      <c r="N5" t="s">
        <v>4</v>
      </c>
      <c r="O5" s="22" t="e">
        <f>('Ver-Elaboração1'!$G$16/SUM('Ver-Elaboração1'!$G$16:'Ver-Elaboração1'!$J$16))</f>
        <v>#DIV/0!</v>
      </c>
      <c r="P5" s="22" t="e">
        <f>('Ver-Elaboração1'!$H$16/SUM('Ver-Elaboração1'!$G$16:'Ver-Elaboração1'!$J$16))</f>
        <v>#DIV/0!</v>
      </c>
      <c r="Q5" s="22" t="e">
        <f>('Ver-Elaboração1'!$I$16/SUM('Ver-Elaboração1'!$G$16:'Ver-Elaboração1'!$J$16))</f>
        <v>#DIV/0!</v>
      </c>
      <c r="R5" s="22" t="e">
        <f>('Ver-Elaboração1'!$J$16/SUM('Ver-Elaboração1'!$G$16:'Ver-Elaboração1'!$J$16))</f>
        <v>#DIV/0!</v>
      </c>
    </row>
    <row r="6" spans="1:18">
      <c r="A6" t="s">
        <v>4</v>
      </c>
      <c r="B6" s="22" t="e">
        <f>('Ver-Iniciação1'!$G$22/SUM('Ver-Iniciação1'!$G$22:'Ver-Iniciação1'!$J$22))</f>
        <v>#DIV/0!</v>
      </c>
      <c r="C6" s="22" t="e">
        <f>('Ver-Iniciação1'!$H$22/SUM('Ver-Iniciação1'!$G$22:'Ver-Iniciação1'!$J$22))</f>
        <v>#DIV/0!</v>
      </c>
      <c r="D6" s="22" t="e">
        <f>('Ver-Iniciação1'!$I$22/SUM('Ver-Iniciação1'!$G$22:'Ver-Iniciação1'!$J$22))</f>
        <v>#DIV/0!</v>
      </c>
      <c r="E6" s="22" t="e">
        <f>('Ver-Iniciação1'!$J$22/SUM('Ver-Iniciação1'!$G$22:'Ver-Iniciação1'!$J$22))</f>
        <v>#DIV/0!</v>
      </c>
      <c r="N6" t="s">
        <v>36</v>
      </c>
      <c r="O6" s="22" t="e">
        <f>('Ver-Elaboração1'!#REF!/SUM('Ver-Elaboração1'!#REF!:'Ver-Elaboração1'!#REF!))</f>
        <v>#REF!</v>
      </c>
      <c r="P6" s="22" t="e">
        <f>('Ver-Elaboração1'!#REF!/SUM('Ver-Elaboração1'!#REF!:'Ver-Elaboração1'!#REF!))</f>
        <v>#REF!</v>
      </c>
      <c r="Q6" s="22" t="e">
        <f>('Ver-Elaboração1'!#REF!/SUM('Ver-Elaboração1'!#REF!:'Ver-Elaboração1'!#REF!))</f>
        <v>#REF!</v>
      </c>
      <c r="R6" s="22" t="e">
        <f>('Ver-Elaboração1'!#REF!/SUM('Ver-Elaboração1'!#REF!:'Ver-Elaboração1'!#REF!))</f>
        <v>#REF!</v>
      </c>
    </row>
    <row r="7" spans="1:18">
      <c r="A7" t="s">
        <v>36</v>
      </c>
      <c r="B7" s="22" t="e">
        <f>('Ver-Iniciação1'!$G$25/SUM('Ver-Iniciação1'!$G$25:'Ver-Iniciação1'!$J$25))</f>
        <v>#DIV/0!</v>
      </c>
      <c r="C7" s="22" t="e">
        <f>('Ver-Iniciação1'!$H$25/SUM('Ver-Iniciação1'!$G$25:'Ver-Iniciação1'!$J$25))</f>
        <v>#DIV/0!</v>
      </c>
      <c r="D7" s="22" t="e">
        <f>('Ver-Iniciação1'!$I$25/SUM('Ver-Iniciação1'!$G$25:'Ver-Iniciação1'!$J$25))</f>
        <v>#DIV/0!</v>
      </c>
      <c r="E7" s="22" t="e">
        <f>('Ver-Iniciação1'!$J$25/SUM('Ver-Iniciação1'!$G$25:'Ver-Iniciação1'!$J$25))</f>
        <v>#DIV/0!</v>
      </c>
      <c r="N7" t="s">
        <v>5</v>
      </c>
      <c r="O7" s="22" t="e">
        <f>('Ver-Elaboração1'!$G$18/SUM('Ver-Elaboração1'!$G$18:'Ver-Elaboração1'!$J$18))</f>
        <v>#DIV/0!</v>
      </c>
      <c r="P7" s="22" t="e">
        <f>('Ver-Elaboração1'!$H$18/SUM('Ver-Elaboração1'!$G$18:'Ver-Elaboração1'!$J$18))</f>
        <v>#DIV/0!</v>
      </c>
      <c r="Q7" s="22" t="e">
        <f>('Ver-Elaboração1'!$I$18/SUM('Ver-Elaboração1'!$G$18:'Ver-Elaboração1'!$J$18))</f>
        <v>#DIV/0!</v>
      </c>
      <c r="R7" s="22" t="e">
        <f>('Ver-Elaboração1'!$J$18/SUM('Ver-Elaboração1'!$G$18:'Ver-Elaboração1'!$J$18))</f>
        <v>#DIV/0!</v>
      </c>
    </row>
    <row r="8" spans="1:18">
      <c r="A8" t="s">
        <v>12</v>
      </c>
      <c r="B8" s="22" t="e">
        <f>('Ver-Iniciação1'!#REF!/SUM('Ver-Iniciação1'!#REF!:'Ver-Iniciação1'!#REF!))</f>
        <v>#REF!</v>
      </c>
      <c r="C8" s="22" t="e">
        <f>('Ver-Iniciação1'!#REF!/SUM('Ver-Iniciação1'!#REF!:'Ver-Iniciação1'!#REF!))</f>
        <v>#REF!</v>
      </c>
      <c r="D8" s="22" t="e">
        <f>('Ver-Iniciação1'!#REF!/SUM('Ver-Iniciação1'!#REF!:'Ver-Iniciação1'!#REF!))</f>
        <v>#REF!</v>
      </c>
      <c r="E8" s="22" t="e">
        <f>('Ver-Iniciação1'!#REF!/SUM('Ver-Iniciação1'!#REF!:'Ver-Iniciação1'!#REF!))</f>
        <v>#REF!</v>
      </c>
      <c r="N8" t="s">
        <v>7</v>
      </c>
      <c r="O8" s="22" t="e">
        <f>('Ver-Elaboração1'!#REF!/SUM('Ver-Elaboração1'!#REF!:'Ver-Elaboração1'!#REF!))</f>
        <v>#REF!</v>
      </c>
      <c r="P8" s="22" t="e">
        <f>('Ver-Elaboração1'!#REF!/SUM('Ver-Elaboração1'!#REF!:'Ver-Elaboração1'!#REF!))</f>
        <v>#REF!</v>
      </c>
      <c r="Q8" s="22" t="e">
        <f>('Ver-Elaboração1'!#REF!/SUM('Ver-Elaboração1'!#REF!:'Ver-Elaboração1'!#REF!))</f>
        <v>#REF!</v>
      </c>
      <c r="R8" s="22" t="e">
        <f>('Ver-Elaboração1'!#REF!/SUM('Ver-Elaboração1'!#REF!:'Ver-Elaboração1'!#REF!))</f>
        <v>#REF!</v>
      </c>
    </row>
    <row r="9" spans="1:18">
      <c r="A9" t="s">
        <v>91</v>
      </c>
      <c r="B9" s="22" t="e">
        <f>('Ver-Iniciação1'!#REF!/SUM('Ver-Iniciação1'!#REF!:'Ver-Iniciação1'!#REF!))</f>
        <v>#REF!</v>
      </c>
      <c r="C9" s="22" t="e">
        <f>('Ver-Iniciação1'!#REF!/SUM('Ver-Iniciação1'!#REF!:'Ver-Iniciação1'!#REF!))</f>
        <v>#REF!</v>
      </c>
      <c r="D9" s="22" t="e">
        <f>('Ver-Iniciação1'!#REF!/SUM('Ver-Iniciação1'!#REF!:'Ver-Iniciação1'!#REF!))</f>
        <v>#REF!</v>
      </c>
      <c r="E9" s="22" t="e">
        <f>('Ver-Iniciação1'!#REF!/SUM('Ver-Iniciação1'!#REF!:'Ver-Iniciação1'!#REF!))</f>
        <v>#REF!</v>
      </c>
      <c r="N9" t="s">
        <v>6</v>
      </c>
      <c r="O9" s="22" t="e">
        <f>('Ver-Elaboração1'!$G$23/SUM('Ver-Elaboração1'!$G$23:'Ver-Elaboração1'!$J$23))</f>
        <v>#DIV/0!</v>
      </c>
      <c r="P9" s="22" t="e">
        <f>('Ver-Elaboração1'!$H$23/SUM('Ver-Elaboração1'!$G$23:'Ver-Elaboração1'!$J$23))</f>
        <v>#DIV/0!</v>
      </c>
      <c r="Q9" s="22" t="e">
        <f>('Ver-Elaboração1'!$I$23/SUM('Ver-Elaboração1'!$G$23:'Ver-Elaboração1'!$J$23))</f>
        <v>#DIV/0!</v>
      </c>
      <c r="R9" s="22" t="e">
        <f>('Ver-Elaboração1'!$J$23/SUM('Ver-Elaboração1'!$G$23:'Ver-Elaboração1'!$J$23))</f>
        <v>#DIV/0!</v>
      </c>
    </row>
    <row r="10" spans="1:18">
      <c r="A10" t="s">
        <v>13</v>
      </c>
      <c r="B10" s="22" t="e">
        <f>('Ver-Iniciação1'!$G$28/SUM('Ver-Iniciação1'!$G$28:'Ver-Iniciação1'!$J$28))</f>
        <v>#DIV/0!</v>
      </c>
      <c r="C10" s="22" t="e">
        <f>('Ver-Iniciação1'!$H$28/SUM('Ver-Iniciação1'!$G$28:'Ver-Iniciação1'!$J$28))</f>
        <v>#DIV/0!</v>
      </c>
      <c r="D10" s="22" t="e">
        <f>('Ver-Iniciação1'!$I$28/SUM('Ver-Iniciação1'!$G$28:'Ver-Iniciação1'!$J$28))</f>
        <v>#DIV/0!</v>
      </c>
      <c r="E10" s="22" t="e">
        <f>('Ver-Iniciação1'!$J$28/SUM('Ver-Iniciação1'!$G$28:'Ver-Iniciação1'!$J$28))</f>
        <v>#DIV/0!</v>
      </c>
      <c r="N10" t="s">
        <v>13</v>
      </c>
      <c r="O10" s="22" t="e">
        <f>('Ver-Elaboração1'!$G$29/SUM('Ver-Elaboração1'!$G$29:'Ver-Elaboração1'!$J$29))</f>
        <v>#DIV/0!</v>
      </c>
      <c r="P10" s="22" t="e">
        <f>('Ver-Elaboração1'!$H$29/SUM('Ver-Elaboração1'!$G$29:'Ver-Elaboração1'!$J$29))</f>
        <v>#DIV/0!</v>
      </c>
      <c r="Q10" s="22" t="e">
        <f>('Ver-Elaboração1'!$I$29/SUM('Ver-Elaboração1'!$G$29:'Ver-Elaboração1'!$J$29))</f>
        <v>#DIV/0!</v>
      </c>
      <c r="R10" s="22" t="e">
        <f>('Ver-Elaboração1'!$J$29/SUM('Ver-Elaboração1'!$G$29:'Ver-Elaboração1'!$J$29))</f>
        <v>#DIV/0!</v>
      </c>
    </row>
    <row r="11" spans="1:18">
      <c r="A11" t="s">
        <v>56</v>
      </c>
      <c r="B11" s="22" t="e">
        <f>('Ver-Iniciação1'!$G$37/SUM('Ver-Iniciação1'!$G$37:'Ver-Iniciação1'!$J$37))</f>
        <v>#DIV/0!</v>
      </c>
      <c r="C11" s="22" t="e">
        <f>('Ver-Iniciação1'!$H$37/SUM('Ver-Iniciação1'!$G$37:'Ver-Iniciação1'!$J$37))</f>
        <v>#DIV/0!</v>
      </c>
      <c r="D11" s="22" t="e">
        <f>('Ver-Iniciação1'!$I$37/SUM('Ver-Iniciação1'!$G$37:'Ver-Iniciação1'!$J$37))</f>
        <v>#DIV/0!</v>
      </c>
      <c r="E11" s="22" t="e">
        <f>('Ver-Iniciação1'!$J$37/SUM('Ver-Iniciação1'!$G$37:'Ver-Iniciação1'!$J$37))</f>
        <v>#DIV/0!</v>
      </c>
      <c r="N11" t="s">
        <v>56</v>
      </c>
      <c r="O11" s="22" t="e">
        <f>('Ver-Elaboração1'!$G$36/SUM('Ver-Elaboração1'!$G$36:'Ver-Elaboração1'!$J$36))</f>
        <v>#DIV/0!</v>
      </c>
      <c r="P11" s="22" t="e">
        <f>('Ver-Elaboração1'!$H$36/SUM('Ver-Elaboração1'!$G$36:'Ver-Elaboração1'!$J$36))</f>
        <v>#DIV/0!</v>
      </c>
      <c r="Q11" s="22" t="e">
        <f>('Ver-Elaboração1'!$I$36/SUM('Ver-Elaboração1'!$G$36:'Ver-Elaboração1'!$J$36))</f>
        <v>#DIV/0!</v>
      </c>
      <c r="R11" s="22" t="e">
        <f>('Ver-Elaboração1'!$J$36/SUM('Ver-Elaboração1'!$G$36:'Ver-Elaboração1'!$J$36))</f>
        <v>#DIV/0!</v>
      </c>
    </row>
    <row r="12" spans="1:18">
      <c r="A12" t="s">
        <v>15</v>
      </c>
      <c r="B12" s="22" t="e">
        <f>('Ver-Iniciação1'!#REF!/SUM('Ver-Iniciação1'!#REF!:'Ver-Iniciação1'!#REF!))</f>
        <v>#REF!</v>
      </c>
      <c r="C12" s="22" t="e">
        <f>('Ver-Iniciação1'!#REF!/SUM('Ver-Iniciação1'!#REF!:'Ver-Iniciação1'!#REF!))</f>
        <v>#REF!</v>
      </c>
      <c r="D12" s="22" t="e">
        <f>('Ver-Iniciação1'!#REF!/SUM('Ver-Iniciação1'!#REF!:'Ver-Iniciação1'!#REF!))</f>
        <v>#REF!</v>
      </c>
      <c r="E12" s="22" t="e">
        <f>('Ver-Iniciação1'!#REF!/SUM('Ver-Iniciação1'!#REF!:'Ver-Iniciação1'!#REF!))</f>
        <v>#REF!</v>
      </c>
      <c r="N12" t="s">
        <v>15</v>
      </c>
      <c r="O12" s="22" t="e">
        <f>('Ver-Elaboração1'!$G$40/SUM('Ver-Elaboração1'!$G$40:'Ver-Elaboração1'!$J$40))</f>
        <v>#DIV/0!</v>
      </c>
      <c r="P12" s="22" t="e">
        <f>('Ver-Elaboração1'!$H$40/SUM('Ver-Elaboração1'!$G$40:'Ver-Elaboração1'!$J$40))</f>
        <v>#DIV/0!</v>
      </c>
      <c r="Q12" s="22" t="e">
        <f>('Ver-Elaboração1'!$I$40/SUM('Ver-Elaboração1'!$G$40:'Ver-Elaboração1'!$J$40))</f>
        <v>#DIV/0!</v>
      </c>
      <c r="R12" s="22" t="e">
        <f>('Ver-Elaboração1'!$J$40/SUM('Ver-Elaboração1'!$G$40:'Ver-Elaboração1'!$J$40))</f>
        <v>#DIV/0!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3" t="e">
        <f>('Ver-Construção1'!$G$6/SUM('Ver-Construção1'!$G$6:'Ver-Construção1'!$J$6))</f>
        <v>#DIV/0!</v>
      </c>
      <c r="C23" s="24" t="e">
        <f>('Ver-Construção1'!$H$6/SUM('Ver-Construção1'!$G$6:'Ver-Construção1'!$J$6))</f>
        <v>#DIV/0!</v>
      </c>
      <c r="D23" s="24" t="e">
        <f>('Ver-Construção1'!$I$6/SUM('Ver-Construção1'!$G$6:'Ver-Construção1'!$J$6))</f>
        <v>#DIV/0!</v>
      </c>
      <c r="E23" s="24" t="e">
        <f>('Ver-Construção1'!$J$6/SUM('Ver-Construção1'!$G$6:'Ver-Construção1'!$J$6))</f>
        <v>#DIV/0!</v>
      </c>
    </row>
    <row r="24" spans="1:17">
      <c r="A24" t="s">
        <v>3</v>
      </c>
      <c r="B24" s="23" t="e">
        <f>('Ver-Construção1'!$G$8/SUM('Ver-Construção1'!$G$8:'Ver-Construção1'!$J$8))</f>
        <v>#DIV/0!</v>
      </c>
      <c r="C24" s="24" t="e">
        <f>('Ver-Construção1'!$H$8/SUM('Ver-Construção1'!$G$8:'Ver-Construção1'!$J$8))</f>
        <v>#DIV/0!</v>
      </c>
      <c r="D24" s="24" t="e">
        <f>('Ver-Construção1'!$I$8/SUM('Ver-Construção1'!$G$8:'Ver-Construção1'!$J$8))</f>
        <v>#DIV/0!</v>
      </c>
      <c r="E24" s="24" t="e">
        <f>('Ver-Construção1'!$J$8/SUM('Ver-Construção1'!$G$8:'Ver-Construção1'!$J$8))</f>
        <v>#DIV/0!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3" t="e">
        <f>('Ver-Construção1'!$G$10/SUM('Ver-Construção1'!$G$10:'Ver-Construção1'!$J$10))</f>
        <v>#DIV/0!</v>
      </c>
      <c r="C25" s="24" t="e">
        <f>('Ver-Construção1'!$G$10/SUM('Ver-Construção1'!$G$10:'Ver-Construção1'!$J$10))</f>
        <v>#DIV/0!</v>
      </c>
      <c r="D25" s="24" t="e">
        <f>('Ver-Construção1'!$I$10/SUM('Ver-Construção1'!$G$10:'Ver-Construção1'!$J$10))</f>
        <v>#DIV/0!</v>
      </c>
      <c r="E25" s="24" t="e">
        <f>('Ver-Construção1'!$J$10/SUM('Ver-Construção1'!$G$10:'Ver-Construção1'!$J$10))</f>
        <v>#DIV/0!</v>
      </c>
      <c r="M25" t="s">
        <v>2</v>
      </c>
      <c r="N25" s="24" t="e">
        <f>('Ver-Transição1'!$G$6/SUM('Ver-Transição1'!$G$6:'Ver-Transição1'!$J$6))</f>
        <v>#DIV/0!</v>
      </c>
      <c r="O25" s="24" t="e">
        <f>('Ver-Transição1'!$H$6/SUM('Ver-Transição1'!$G$6:'Ver-Transição1'!$J$6))</f>
        <v>#DIV/0!</v>
      </c>
      <c r="P25" s="24" t="e">
        <f>('Ver-Transição1'!$I$6/SUM('Ver-Transição1'!$G$6:'Ver-Transição1'!$J$6))</f>
        <v>#DIV/0!</v>
      </c>
      <c r="Q25" s="24" t="e">
        <f>('Ver-Transição1'!$J$6/SUM('Ver-Transição1'!$G$6:'Ver-Transição1'!$J$6))</f>
        <v>#DIV/0!</v>
      </c>
    </row>
    <row r="26" spans="1:17">
      <c r="A26" t="s">
        <v>4</v>
      </c>
      <c r="B26" s="24" t="e">
        <f>('Ver-Construção1'!$G$14/SUM('Ver-Construção1'!$G$14:'Ver-Construção1'!$J$14))</f>
        <v>#DIV/0!</v>
      </c>
      <c r="C26" s="24" t="e">
        <f>('Ver-Construção1'!$H$14/SUM('Ver-Construção1'!$G$14:'Ver-Construção1'!$J$14))</f>
        <v>#DIV/0!</v>
      </c>
      <c r="D26" s="24" t="e">
        <f>('Ver-Construção1'!$I$14/SUM('Ver-Construção1'!$G$14:'Ver-Construção1'!$J$14))</f>
        <v>#DIV/0!</v>
      </c>
      <c r="E26" s="24" t="e">
        <f>('Ver-Construção1'!$J$14/SUM('Ver-Construção1'!$G$14:'Ver-Construção1'!$J$14))</f>
        <v>#DIV/0!</v>
      </c>
      <c r="M26" t="s">
        <v>3</v>
      </c>
      <c r="N26" s="24" t="e">
        <f>('Ver-Transição1'!$G$8/SUM('Ver-Transição1'!$G$8:'Ver-Transição1'!$J$8))</f>
        <v>#DIV/0!</v>
      </c>
      <c r="O26" s="24" t="e">
        <f>('Ver-Transição1'!$H$8/SUM('Ver-Transição1'!$G$8:'Ver-Transição1'!$J$8))</f>
        <v>#DIV/0!</v>
      </c>
      <c r="P26" s="24" t="e">
        <f>('Ver-Transição1'!$I$8/SUM('Ver-Transição1'!$G$8:'Ver-Transição1'!$J$8))</f>
        <v>#DIV/0!</v>
      </c>
      <c r="Q26" s="24" t="e">
        <f>('Ver-Transição1'!$J$8/SUM('Ver-Transição1'!$G$8:'Ver-Transição1'!$J$8))</f>
        <v>#DIV/0!</v>
      </c>
    </row>
    <row r="27" spans="1:17">
      <c r="A27" t="s">
        <v>36</v>
      </c>
      <c r="B27" s="24" t="e">
        <f>('Ver-Construção1'!#REF!/SUM('Ver-Construção1'!#REF!:'Ver-Construção1'!#REF!))</f>
        <v>#REF!</v>
      </c>
      <c r="C27" s="24" t="e">
        <f>('Ver-Construção1'!#REF!/SUM('Ver-Construção1'!#REF!:'Ver-Construção1'!#REF!))</f>
        <v>#REF!</v>
      </c>
      <c r="D27" s="24" t="e">
        <f>('Ver-Construção1'!#REF!/SUM('Ver-Construção1'!#REF!:'Ver-Construção1'!#REF!))</f>
        <v>#REF!</v>
      </c>
      <c r="E27" s="24" t="e">
        <f>('Ver-Construção1'!#REF!/SUM('Ver-Construção1'!#REF!:'Ver-Construção1'!#REF!))</f>
        <v>#REF!</v>
      </c>
      <c r="M27" t="s">
        <v>14</v>
      </c>
      <c r="N27" s="24" t="e">
        <f>('Ver-Transição1'!$G$10/SUM('Ver-Transição1'!$G$10:'Ver-Transição1'!$J$10))</f>
        <v>#DIV/0!</v>
      </c>
      <c r="O27" s="24" t="e">
        <f>('Ver-Transição1'!$H$10/SUM('Ver-Transição1'!$G$10:'Ver-Transição1'!$J$10))</f>
        <v>#DIV/0!</v>
      </c>
      <c r="P27" s="24" t="e">
        <f>('Ver-Transição1'!$I$10/SUM('Ver-Transição1'!$G$10:'Ver-Transição1'!$J$10))</f>
        <v>#DIV/0!</v>
      </c>
      <c r="Q27" s="24" t="e">
        <f>('Ver-Transição1'!$J$10/SUM('Ver-Transição1'!$G$10:'Ver-Transição1'!$J$10))</f>
        <v>#DIV/0!</v>
      </c>
    </row>
    <row r="28" spans="1:17">
      <c r="A28" t="s">
        <v>5</v>
      </c>
      <c r="B28" s="24" t="e">
        <f>('Ver-Construção1'!$G$16/SUM('Ver-Construção1'!$G$16:'Ver-Construção1'!$J$16))</f>
        <v>#DIV/0!</v>
      </c>
      <c r="C28" s="24" t="e">
        <f>('Ver-Construção1'!$H$16/SUM('Ver-Construção1'!$G$16:'Ver-Construção1'!$J$16))</f>
        <v>#DIV/0!</v>
      </c>
      <c r="D28" s="24" t="e">
        <f>('Ver-Construção1'!$I$16/SUM('Ver-Construção1'!$G$16:'Ver-Construção1'!$J$16))</f>
        <v>#DIV/0!</v>
      </c>
      <c r="E28" s="24" t="e">
        <f>('Ver-Construção1'!$J$16/SUM('Ver-Construção1'!$G$16:'Ver-Construção1'!$J$16))</f>
        <v>#DIV/0!</v>
      </c>
      <c r="M28" t="s">
        <v>4</v>
      </c>
      <c r="N28" s="24" t="e">
        <f>('Ver-Transição1'!$G$14/SUM('Ver-Transição1'!$G$14:'Ver-Transição1'!$J$14))</f>
        <v>#DIV/0!</v>
      </c>
      <c r="O28" s="24" t="e">
        <f>('Ver-Transição1'!$H$14/SUM('Ver-Transição1'!$G$14:'Ver-Transição1'!$J$14))</f>
        <v>#DIV/0!</v>
      </c>
      <c r="P28" s="24" t="e">
        <f>('Ver-Transição1'!$I$14/SUM('Ver-Transição1'!$G$14:'Ver-Transição1'!$J$14))</f>
        <v>#DIV/0!</v>
      </c>
      <c r="Q28" s="24" t="e">
        <f>('Ver-Transição1'!$J$14/SUM('Ver-Transição1'!$G$14:'Ver-Transição1'!$J$14))</f>
        <v>#DIV/0!</v>
      </c>
    </row>
    <row r="29" spans="1:17">
      <c r="A29" t="s">
        <v>7</v>
      </c>
      <c r="B29" s="24" t="e">
        <f>('Ver-Construção1'!#REF!/SUM('Ver-Construção1'!#REF!:'Ver-Construção1'!#REF!))</f>
        <v>#REF!</v>
      </c>
      <c r="C29" s="24" t="e">
        <f>('Ver-Construção1'!#REF!/SUM('Ver-Construção1'!#REF!:'Ver-Construção1'!#REF!))</f>
        <v>#REF!</v>
      </c>
      <c r="D29" s="24" t="e">
        <f>('Ver-Construção1'!#REF!/SUM('Ver-Construção1'!#REF!:'Ver-Construção1'!#REF!))</f>
        <v>#REF!</v>
      </c>
      <c r="E29" s="24" t="e">
        <f>('Ver-Construção1'!#REF!/SUM('Ver-Construção1'!#REF!:'Ver-Construção1'!#REF!))</f>
        <v>#REF!</v>
      </c>
      <c r="M29" t="s">
        <v>36</v>
      </c>
      <c r="N29" s="24" t="e">
        <f>('Ver-Transição1'!#REF!/SUM('Ver-Transição1'!#REF!:'Ver-Transição1'!#REF!))</f>
        <v>#REF!</v>
      </c>
      <c r="O29" s="24" t="e">
        <f>('Ver-Transição1'!#REF!/SUM('Ver-Transição1'!#REF!:'Ver-Transição1'!#REF!))</f>
        <v>#REF!</v>
      </c>
      <c r="P29" s="24" t="e">
        <f>('Ver-Transição1'!#REF!/SUM('Ver-Transição1'!#REF!:'Ver-Transição1'!#REF!))</f>
        <v>#REF!</v>
      </c>
      <c r="Q29" s="24" t="e">
        <f>('Ver-Transição1'!#REF!/SUM('Ver-Transição1'!#REF!:'Ver-Transição1'!#REF!))</f>
        <v>#REF!</v>
      </c>
    </row>
    <row r="30" spans="1:17">
      <c r="A30" t="s">
        <v>6</v>
      </c>
      <c r="B30" s="24" t="e">
        <f>('Ver-Construção1'!$G$18/SUM('Ver-Construção1'!$G$18:'Ver-Construção1'!$J$18))</f>
        <v>#DIV/0!</v>
      </c>
      <c r="C30" s="24" t="e">
        <f>('Ver-Construção1'!$H$18/SUM('Ver-Construção1'!$G$18:'Ver-Construção1'!$J$18))</f>
        <v>#DIV/0!</v>
      </c>
      <c r="D30" s="24" t="e">
        <f>('Ver-Construção1'!$I$18/SUM('Ver-Construção1'!$G$18:'Ver-Construção1'!$J$18))</f>
        <v>#DIV/0!</v>
      </c>
      <c r="E30" s="24" t="e">
        <f>('Ver-Construção1'!$J$18/SUM('Ver-Construção1'!$G$18:'Ver-Construção1'!$J$18))</f>
        <v>#DIV/0!</v>
      </c>
      <c r="M30" t="s">
        <v>5</v>
      </c>
      <c r="N30" s="24" t="e">
        <f>('Ver-Transição1'!$G$16/SUM('Ver-Transição1'!$G$16:'Ver-Transição1'!$J$16))</f>
        <v>#DIV/0!</v>
      </c>
      <c r="O30" s="24" t="e">
        <f>('Ver-Transição1'!$H$16/SUM('Ver-Transição1'!$G$16:'Ver-Transição1'!$J$16))</f>
        <v>#DIV/0!</v>
      </c>
      <c r="P30" s="24" t="e">
        <f>('Ver-Transição1'!$I$16/SUM('Ver-Transição1'!$G$16:'Ver-Transição1'!$J$16))</f>
        <v>#DIV/0!</v>
      </c>
      <c r="Q30" s="24" t="e">
        <f>('Ver-Transição1'!$J$16/SUM('Ver-Transição1'!$G$16:'Ver-Transição1'!$J$16))</f>
        <v>#DIV/0!</v>
      </c>
    </row>
    <row r="31" spans="1:17">
      <c r="A31" t="s">
        <v>8</v>
      </c>
      <c r="B31" s="24" t="e">
        <f>('Ver-Construção1'!$G$24/SUM('Ver-Construção1'!$G$24:'Ver-Construção1'!$J$24))</f>
        <v>#DIV/0!</v>
      </c>
      <c r="C31" s="24" t="e">
        <f>('Ver-Construção1'!$H$24/SUM('Ver-Construção1'!$G$24:'Ver-Construção1'!$J$24))</f>
        <v>#DIV/0!</v>
      </c>
      <c r="D31" s="24" t="e">
        <f>('Ver-Construção1'!$I$24/SUM('Ver-Construção1'!$G$24:'Ver-Construção1'!$J$24))</f>
        <v>#DIV/0!</v>
      </c>
      <c r="E31" s="24" t="e">
        <f>('Ver-Construção1'!$J$24/SUM('Ver-Construção1'!$G$24:'Ver-Construção1'!$J$24))</f>
        <v>#DIV/0!</v>
      </c>
      <c r="M31" t="s">
        <v>6</v>
      </c>
      <c r="N31" s="24" t="e">
        <f>('Ver-Transição1'!$G$18/SUM('Ver-Transição1'!$G$18:'Ver-Transição1'!$J$18))</f>
        <v>#DIV/0!</v>
      </c>
      <c r="O31" s="24" t="e">
        <f>('Ver-Transição1'!$H$18/SUM('Ver-Transição1'!$G$18:'Ver-Transição1'!$J$18))</f>
        <v>#DIV/0!</v>
      </c>
      <c r="P31" s="24" t="e">
        <f>('Ver-Transição1'!$I$18/SUM('Ver-Transição1'!$G$18:'Ver-Transição1'!$J$18))</f>
        <v>#DIV/0!</v>
      </c>
      <c r="Q31" s="24" t="e">
        <f>('Ver-Transição1'!$J$18/SUM('Ver-Transição1'!$G$18:'Ver-Transição1'!$J$18))</f>
        <v>#DIV/0!</v>
      </c>
    </row>
    <row r="32" spans="1:17">
      <c r="A32" t="s">
        <v>13</v>
      </c>
      <c r="B32" s="24" t="e">
        <f>('Ver-Construção1'!$G$30/SUM('Ver-Construção1'!$G$30:'Ver-Construção1'!$J$30))</f>
        <v>#DIV/0!</v>
      </c>
      <c r="C32" s="24" t="e">
        <f>('Ver-Construção1'!$H$30/SUM('Ver-Construção1'!$G$30:'Ver-Construção1'!$J$30))</f>
        <v>#DIV/0!</v>
      </c>
      <c r="D32" s="24" t="e">
        <f>('Ver-Construção1'!$I$30/SUM('Ver-Construção1'!$G$30:'Ver-Construção1'!$J$30))</f>
        <v>#DIV/0!</v>
      </c>
      <c r="E32" s="24" t="e">
        <f>('Ver-Construção1'!$J$30/SUM('Ver-Construção1'!$G$30:'Ver-Construção1'!$J$30))</f>
        <v>#DIV/0!</v>
      </c>
      <c r="M32" t="s">
        <v>8</v>
      </c>
      <c r="N32" s="24" t="e">
        <f>('Ver-Transição1'!$G$23/SUM('Ver-Transição1'!$G$23:'Ver-Transição1'!$J$23))</f>
        <v>#DIV/0!</v>
      </c>
      <c r="O32" s="24" t="e">
        <f>('Ver-Transição1'!$H$23/SUM('Ver-Transição1'!$G$23:'Ver-Transição1'!$J$23))</f>
        <v>#DIV/0!</v>
      </c>
      <c r="P32" s="24" t="e">
        <f>('Ver-Transição1'!$I$23/SUM('Ver-Transição1'!$G$23:'Ver-Transição1'!$J$23))</f>
        <v>#DIV/0!</v>
      </c>
      <c r="Q32" s="24" t="e">
        <f>('Ver-Transição1'!$J$23/SUM('Ver-Transição1'!$G$23:'Ver-Transição1'!$J$23))</f>
        <v>#DIV/0!</v>
      </c>
    </row>
    <row r="33" spans="1:17">
      <c r="A33" t="s">
        <v>56</v>
      </c>
      <c r="B33" s="24" t="e">
        <f>('Ver-Construção1'!$G$36/SUM('Ver-Construção1'!$G$36:'Ver-Construção1'!$J$36))</f>
        <v>#DIV/0!</v>
      </c>
      <c r="C33" s="24" t="e">
        <f>('Ver-Construção1'!$H$36/SUM('Ver-Construção1'!$G$36:'Ver-Construção1'!$J$36))</f>
        <v>#DIV/0!</v>
      </c>
      <c r="D33" s="24" t="e">
        <f>('Ver-Construção1'!$I$36/SUM('Ver-Construção1'!$G$36:'Ver-Construção1'!$J$36))</f>
        <v>#DIV/0!</v>
      </c>
      <c r="E33" s="24" t="e">
        <f>('Ver-Construção1'!$J$36/SUM('Ver-Construção1'!$G$36:'Ver-Construção1'!$J$36))</f>
        <v>#DIV/0!</v>
      </c>
      <c r="M33" t="s">
        <v>9</v>
      </c>
      <c r="N33" s="24" t="e">
        <f>('Ver-Transição1'!$G$26/SUM('Ver-Transição1'!$G$26:'Ver-Transição1'!$J$26))</f>
        <v>#DIV/0!</v>
      </c>
      <c r="O33" s="24" t="e">
        <f>('Ver-Transição1'!$H$26/SUM('Ver-Transição1'!$G$26:'Ver-Transição1'!$J$26))</f>
        <v>#DIV/0!</v>
      </c>
      <c r="P33" s="24" t="e">
        <f>('Ver-Transição1'!$I$26/SUM('Ver-Transição1'!$G$26:'Ver-Transição1'!$J$26))</f>
        <v>#DIV/0!</v>
      </c>
      <c r="Q33" s="24" t="e">
        <f>('Ver-Transição1'!$J$26/SUM('Ver-Transição1'!$G$26:'Ver-Transição1'!$J$26))</f>
        <v>#DIV/0!</v>
      </c>
    </row>
    <row r="34" spans="1:17">
      <c r="A34" t="s">
        <v>15</v>
      </c>
      <c r="B34" s="24" t="e">
        <f>('Ver-Construção1'!$G$41/SUM('Ver-Construção1'!$G$41:'Ver-Construção1'!$J$41))</f>
        <v>#DIV/0!</v>
      </c>
      <c r="C34" s="24" t="e">
        <f>('Ver-Construção1'!$H$41/SUM('Ver-Construção1'!$G$41:'Ver-Construção1'!$J$41))</f>
        <v>#DIV/0!</v>
      </c>
      <c r="D34" s="24" t="e">
        <f>('Ver-Construção1'!$I$41/SUM('Ver-Construção1'!$G$41:'Ver-Construção1'!$J$41))</f>
        <v>#DIV/0!</v>
      </c>
      <c r="E34" s="24" t="e">
        <f>('Ver-Construção1'!$J$41/SUM('Ver-Construção1'!$G$41:'Ver-Construção1'!$J$41))</f>
        <v>#DIV/0!</v>
      </c>
      <c r="M34" t="s">
        <v>10</v>
      </c>
      <c r="N34" s="23" t="e">
        <f>('Ver-Transição1'!$G$29/SUM('Ver-Transição1'!$G$29:'Ver-Transição1'!$J$29))</f>
        <v>#DIV/0!</v>
      </c>
      <c r="O34" s="24" t="e">
        <f>('Ver-Transição1'!$H$29/SUM('Ver-Transição1'!$G$29:'Ver-Transição1'!$J$29))</f>
        <v>#DIV/0!</v>
      </c>
      <c r="P34" s="24" t="e">
        <f>('Ver-Transição1'!$I$29/SUM('Ver-Transição1'!$G$29:'Ver-Transição1'!$J$29))</f>
        <v>#DIV/0!</v>
      </c>
      <c r="Q34" s="24" t="e">
        <f>('Ver-Transição1'!$J$29/SUM('Ver-Transição1'!$G$29:'Ver-Transição1'!$J$29))</f>
        <v>#DIV/0!</v>
      </c>
    </row>
    <row r="35" spans="1:17">
      <c r="M35" t="s">
        <v>13</v>
      </c>
      <c r="N35" s="24" t="e">
        <f>('Ver-Transição1'!$G$31/SUM('Ver-Transição1'!$G$31:'Ver-Transição1'!$J$31))</f>
        <v>#DIV/0!</v>
      </c>
      <c r="O35" s="24" t="e">
        <f>('Ver-Transição1'!$H$31/SUM('Ver-Transição1'!$G$31:'Ver-Transição1'!$J$31))</f>
        <v>#DIV/0!</v>
      </c>
      <c r="P35" s="24" t="e">
        <f>('Ver-Transição1'!$I$31/SUM('Ver-Transição1'!$G$31:'Ver-Transição1'!$J$31))</f>
        <v>#DIV/0!</v>
      </c>
      <c r="Q35" s="24" t="e">
        <f>('Ver-Transição1'!$J$31/SUM('Ver-Transição1'!$G$31:'Ver-Transição1'!$J$31))</f>
        <v>#DIV/0!</v>
      </c>
    </row>
    <row r="36" spans="1:17">
      <c r="M36" t="s">
        <v>56</v>
      </c>
      <c r="N36" s="24" t="e">
        <f>('Ver-Transição1'!$G$37/SUM('Ver-Transição1'!$G$37:'Ver-Transição1'!$J$37))</f>
        <v>#DIV/0!</v>
      </c>
      <c r="O36" s="24" t="e">
        <f>('Ver-Transição1'!$H$37/SUM('Ver-Transição1'!$G$37:'Ver-Transição1'!$J$37))</f>
        <v>#DIV/0!</v>
      </c>
      <c r="P36" s="24" t="e">
        <f>('Ver-Transição1'!$I$37/SUM('Ver-Transição1'!$G$37:'Ver-Transição1'!$J$37))</f>
        <v>#DIV/0!</v>
      </c>
      <c r="Q36" s="24" t="e">
        <f>('Ver-Transição1'!$J$37/SUM('Ver-Transição1'!$G$37:'Ver-Transição1'!$J$37))</f>
        <v>#DIV/0!</v>
      </c>
    </row>
    <row r="37" spans="1:17">
      <c r="M37" t="s">
        <v>15</v>
      </c>
      <c r="N37" s="24" t="e">
        <f>('Ver-Transição1'!$G$42/SUM('Ver-Transição1'!$G$42:'Ver-Transição1'!$J$42))</f>
        <v>#DIV/0!</v>
      </c>
      <c r="O37" s="24" t="e">
        <f>('Ver-Transição1'!$H$42/SUM('Ver-Transição1'!$G$42:'Ver-Transição1'!$J$42))</f>
        <v>#DIV/0!</v>
      </c>
      <c r="P37" s="24" t="e">
        <f>('Ver-Transição1'!$I$42/SUM('Ver-Transição1'!$G$42:'Ver-Transição1'!$J$42))</f>
        <v>#DIV/0!</v>
      </c>
      <c r="Q37" s="24" t="e">
        <f>('Ver-Transição1'!$J$42/SUM('Ver-Transição1'!$G$42:'Ver-Transição1'!$J$42))</f>
        <v>#DIV/0!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zoomScaleNormal="100" workbookViewId="0">
      <pane ySplit="4" topLeftCell="A34" activePane="bottomLeft" state="frozen"/>
      <selection pane="bottomLeft" sqref="A1:F1"/>
    </sheetView>
  </sheetViews>
  <sheetFormatPr defaultRowHeight="18.75"/>
  <cols>
    <col min="1" max="1" width="5.7109375" customWidth="1"/>
    <col min="2" max="2" width="7.28515625" style="4" customWidth="1"/>
    <col min="3" max="3" width="76.140625" style="2" customWidth="1"/>
    <col min="4" max="4" width="15.28515625" customWidth="1"/>
    <col min="5" max="6" width="47.5703125" customWidth="1"/>
    <col min="7" max="7" width="7.5703125" customWidth="1"/>
    <col min="8" max="8" width="8.5703125" customWidth="1"/>
    <col min="9" max="10" width="7.5703125" customWidth="1"/>
  </cols>
  <sheetData>
    <row r="1" spans="1:10" ht="18">
      <c r="A1" s="46" t="s">
        <v>16</v>
      </c>
      <c r="B1" s="46"/>
      <c r="C1" s="46"/>
      <c r="D1" s="46"/>
      <c r="E1" s="46"/>
      <c r="F1" s="46"/>
      <c r="G1" s="39"/>
      <c r="H1" s="39"/>
      <c r="I1" s="39"/>
      <c r="J1" s="39"/>
    </row>
    <row r="2" spans="1:10" ht="32.1" customHeight="1" thickBot="1">
      <c r="A2" s="47" t="s">
        <v>25</v>
      </c>
      <c r="B2" s="47"/>
      <c r="C2" s="40"/>
      <c r="D2" s="53" t="s">
        <v>44</v>
      </c>
      <c r="E2" s="54"/>
      <c r="F2" s="42" t="e">
        <f>COUNTIF(D5:D41,"Sim")/(COUNTA(D5:D41)-COUNTIF(D5:D41,"NA"))</f>
        <v>#DIV/0!</v>
      </c>
      <c r="G2" s="39"/>
      <c r="H2" s="39"/>
      <c r="I2" s="39"/>
      <c r="J2" s="39"/>
    </row>
    <row r="3" spans="1:10" ht="32.1" customHeight="1" thickBot="1">
      <c r="A3" s="47" t="s">
        <v>26</v>
      </c>
      <c r="B3" s="47"/>
      <c r="C3" s="41"/>
      <c r="D3" s="50" t="s">
        <v>43</v>
      </c>
      <c r="E3" s="51"/>
      <c r="F3" s="52"/>
      <c r="G3" s="39"/>
      <c r="H3" s="39"/>
      <c r="I3" s="39"/>
      <c r="J3" s="39"/>
    </row>
    <row r="4" spans="1:10" ht="30">
      <c r="A4" s="25" t="s">
        <v>22</v>
      </c>
      <c r="B4" s="25" t="s">
        <v>24</v>
      </c>
      <c r="C4" s="25" t="s">
        <v>23</v>
      </c>
      <c r="D4" s="26" t="s">
        <v>29</v>
      </c>
      <c r="E4" s="27" t="s">
        <v>28</v>
      </c>
      <c r="F4" s="27" t="s">
        <v>27</v>
      </c>
      <c r="G4" s="28"/>
      <c r="H4" s="28"/>
      <c r="I4" s="28"/>
      <c r="J4" s="28"/>
    </row>
    <row r="5" spans="1:10" ht="15">
      <c r="A5" s="48" t="s">
        <v>0</v>
      </c>
      <c r="B5" s="29"/>
      <c r="C5" s="30" t="s">
        <v>1</v>
      </c>
      <c r="D5" s="31"/>
      <c r="E5" s="31"/>
      <c r="F5" s="31"/>
      <c r="G5" s="28">
        <f>COUNTIF(D6,"Sim")</f>
        <v>0</v>
      </c>
      <c r="H5" s="28">
        <f>COUNTIF(D6,"Parcialmente")</f>
        <v>0</v>
      </c>
      <c r="I5" s="28">
        <f>COUNTIF(D6,"Não")</f>
        <v>0</v>
      </c>
      <c r="J5" s="28">
        <f>COUNTIF(D6,"NA")</f>
        <v>0</v>
      </c>
    </row>
    <row r="6" spans="1:10" ht="15">
      <c r="A6" s="49"/>
      <c r="B6" s="32">
        <v>1</v>
      </c>
      <c r="C6" s="33" t="s">
        <v>33</v>
      </c>
      <c r="D6" s="34"/>
      <c r="E6" s="33"/>
      <c r="F6" s="33"/>
      <c r="G6" s="28"/>
      <c r="H6" s="28"/>
      <c r="I6" s="28"/>
      <c r="J6" s="28"/>
    </row>
    <row r="7" spans="1:10" ht="15">
      <c r="A7" s="48" t="s">
        <v>17</v>
      </c>
      <c r="B7" s="29"/>
      <c r="C7" s="30" t="s">
        <v>2</v>
      </c>
      <c r="D7" s="31"/>
      <c r="E7" s="31"/>
      <c r="F7" s="31"/>
      <c r="G7" s="28">
        <f>COUNTIF(D8:D12,"Sim")</f>
        <v>0</v>
      </c>
      <c r="H7" s="28">
        <f>COUNTIF(D8:D12,"Parcialmente")</f>
        <v>0</v>
      </c>
      <c r="I7" s="28">
        <f>COUNTIF(D8:D12,"Não")</f>
        <v>0</v>
      </c>
      <c r="J7" s="28">
        <f>COUNTIF(D8:D12,"NA")</f>
        <v>0</v>
      </c>
    </row>
    <row r="8" spans="1:10" ht="30">
      <c r="A8" s="45"/>
      <c r="B8" s="35">
        <v>2</v>
      </c>
      <c r="C8" s="36" t="s">
        <v>72</v>
      </c>
      <c r="D8" s="34"/>
      <c r="E8" s="33"/>
      <c r="F8" s="33"/>
      <c r="G8" s="28"/>
      <c r="H8" s="28"/>
      <c r="I8" s="28"/>
      <c r="J8" s="28"/>
    </row>
    <row r="9" spans="1:10" ht="15">
      <c r="A9" s="45"/>
      <c r="B9" s="32">
        <v>3</v>
      </c>
      <c r="C9" s="33" t="s">
        <v>31</v>
      </c>
      <c r="D9" s="34"/>
      <c r="E9" s="33"/>
      <c r="F9" s="33"/>
      <c r="G9" s="28"/>
      <c r="H9" s="28"/>
      <c r="I9" s="28"/>
      <c r="J9" s="28"/>
    </row>
    <row r="10" spans="1:10" ht="15">
      <c r="A10" s="45"/>
      <c r="B10" s="32">
        <v>4</v>
      </c>
      <c r="C10" s="33" t="s">
        <v>77</v>
      </c>
      <c r="D10" s="34"/>
      <c r="E10" s="33"/>
      <c r="F10" s="33"/>
      <c r="G10" s="28"/>
      <c r="H10" s="28"/>
      <c r="I10" s="28"/>
      <c r="J10" s="28"/>
    </row>
    <row r="11" spans="1:10" s="1" customFormat="1" ht="15">
      <c r="A11" s="45"/>
      <c r="B11" s="32">
        <v>5</v>
      </c>
      <c r="C11" s="33" t="s">
        <v>32</v>
      </c>
      <c r="D11" s="34"/>
      <c r="E11" s="33"/>
      <c r="F11" s="33"/>
      <c r="G11" s="37"/>
      <c r="H11" s="37"/>
      <c r="I11" s="37"/>
      <c r="J11" s="37"/>
    </row>
    <row r="12" spans="1:10" ht="30">
      <c r="A12" s="45"/>
      <c r="B12" s="32">
        <v>6</v>
      </c>
      <c r="C12" s="33" t="s">
        <v>40</v>
      </c>
      <c r="D12" s="34"/>
      <c r="E12" s="33"/>
      <c r="F12" s="33"/>
      <c r="G12" s="28"/>
      <c r="H12" s="28"/>
      <c r="I12" s="28"/>
      <c r="J12" s="28"/>
    </row>
    <row r="13" spans="1:10" ht="15">
      <c r="A13" s="45"/>
      <c r="B13" s="29"/>
      <c r="C13" s="30" t="s">
        <v>3</v>
      </c>
      <c r="D13" s="31"/>
      <c r="E13" s="31"/>
      <c r="F13" s="31"/>
      <c r="G13" s="28">
        <f>COUNTIF(D14:D18,"Sim")</f>
        <v>0</v>
      </c>
      <c r="H13" s="28">
        <f>COUNTIF(D14:D18,"Parcialmente")</f>
        <v>0</v>
      </c>
      <c r="I13" s="28">
        <f>COUNTIF(D14:D18,"Não")</f>
        <v>0</v>
      </c>
      <c r="J13" s="28">
        <f>COUNTIF(D14:D18,"NA")</f>
        <v>0</v>
      </c>
    </row>
    <row r="14" spans="1:10" ht="30">
      <c r="A14" s="45"/>
      <c r="B14" s="38">
        <v>7</v>
      </c>
      <c r="C14" s="36" t="s">
        <v>72</v>
      </c>
      <c r="D14" s="34"/>
      <c r="E14" s="33"/>
      <c r="F14" s="33"/>
      <c r="G14" s="28"/>
      <c r="H14" s="28"/>
      <c r="I14" s="28"/>
      <c r="J14" s="28"/>
    </row>
    <row r="15" spans="1:10" s="1" customFormat="1" ht="30">
      <c r="A15" s="45"/>
      <c r="B15" s="32">
        <v>8</v>
      </c>
      <c r="C15" s="33" t="s">
        <v>34</v>
      </c>
      <c r="D15" s="34"/>
      <c r="E15" s="33"/>
      <c r="F15" s="33"/>
      <c r="G15" s="37"/>
      <c r="H15" s="37"/>
      <c r="I15" s="37"/>
      <c r="J15" s="37"/>
    </row>
    <row r="16" spans="1:10" s="1" customFormat="1" ht="30">
      <c r="A16" s="45"/>
      <c r="B16" s="32">
        <v>9</v>
      </c>
      <c r="C16" s="33" t="s">
        <v>79</v>
      </c>
      <c r="D16" s="34"/>
      <c r="E16" s="33"/>
      <c r="F16" s="33"/>
      <c r="G16" s="37"/>
      <c r="H16" s="37"/>
      <c r="I16" s="37"/>
      <c r="J16" s="37"/>
    </row>
    <row r="17" spans="1:10" s="1" customFormat="1" ht="30">
      <c r="A17" s="45"/>
      <c r="B17" s="38">
        <v>10</v>
      </c>
      <c r="C17" s="36" t="s">
        <v>76</v>
      </c>
      <c r="D17" s="34"/>
      <c r="E17" s="33"/>
      <c r="F17" s="33"/>
      <c r="G17" s="37"/>
      <c r="H17" s="37"/>
      <c r="I17" s="37"/>
      <c r="J17" s="37"/>
    </row>
    <row r="18" spans="1:10" s="1" customFormat="1" ht="15">
      <c r="A18" s="45"/>
      <c r="B18" s="32">
        <v>11</v>
      </c>
      <c r="C18" s="33" t="s">
        <v>75</v>
      </c>
      <c r="D18" s="34"/>
      <c r="E18" s="33"/>
      <c r="F18" s="33"/>
      <c r="G18" s="37"/>
      <c r="H18" s="37"/>
      <c r="I18" s="37"/>
      <c r="J18" s="37"/>
    </row>
    <row r="19" spans="1:10" ht="15">
      <c r="A19" s="45"/>
      <c r="B19" s="29"/>
      <c r="C19" s="30" t="s">
        <v>97</v>
      </c>
      <c r="D19" s="31"/>
      <c r="E19" s="31"/>
      <c r="F19" s="31"/>
      <c r="G19" s="28">
        <f>COUNTIF(D20:D21,"Sim")</f>
        <v>0</v>
      </c>
      <c r="H19" s="28">
        <f>COUNTIF(D20:D21,"Parcialmente")</f>
        <v>0</v>
      </c>
      <c r="I19" s="28">
        <f>COUNTIF(D20:D21,"Não")</f>
        <v>0</v>
      </c>
      <c r="J19" s="28">
        <f>COUNTIF(D20:D21,"NA")</f>
        <v>0</v>
      </c>
    </row>
    <row r="20" spans="1:10" ht="30">
      <c r="A20" s="45"/>
      <c r="B20" s="38">
        <v>12</v>
      </c>
      <c r="C20" s="36" t="s">
        <v>78</v>
      </c>
      <c r="D20" s="34"/>
      <c r="E20" s="33"/>
      <c r="F20" s="33"/>
      <c r="G20" s="28"/>
      <c r="H20" s="28"/>
      <c r="I20" s="28"/>
      <c r="J20" s="28"/>
    </row>
    <row r="21" spans="1:10" ht="45">
      <c r="A21" s="45"/>
      <c r="B21" s="32">
        <v>13</v>
      </c>
      <c r="C21" s="33" t="s">
        <v>80</v>
      </c>
      <c r="D21" s="34"/>
      <c r="E21" s="33"/>
      <c r="F21" s="33"/>
      <c r="G21" s="28"/>
      <c r="H21" s="28"/>
      <c r="I21" s="28"/>
      <c r="J21" s="28"/>
    </row>
    <row r="22" spans="1:10" ht="15">
      <c r="A22" s="45"/>
      <c r="B22" s="29"/>
      <c r="C22" s="30" t="s">
        <v>4</v>
      </c>
      <c r="D22" s="31"/>
      <c r="E22" s="31"/>
      <c r="F22" s="31"/>
      <c r="G22" s="28">
        <f>COUNTIF(D23:D24,"Sim")</f>
        <v>0</v>
      </c>
      <c r="H22" s="28">
        <f>COUNTIF(D23:D24,"Parcialmente")</f>
        <v>0</v>
      </c>
      <c r="I22" s="28">
        <f>COUNTIF(D23:D24,"Não")</f>
        <v>0</v>
      </c>
      <c r="J22" s="28">
        <f>COUNTIF(D23:D24,"NA")</f>
        <v>0</v>
      </c>
    </row>
    <row r="23" spans="1:10" ht="30">
      <c r="A23" s="45"/>
      <c r="B23" s="38">
        <v>14</v>
      </c>
      <c r="C23" s="36" t="s">
        <v>72</v>
      </c>
      <c r="D23" s="34"/>
      <c r="E23" s="33"/>
      <c r="F23" s="33"/>
      <c r="G23" s="28"/>
      <c r="H23" s="28"/>
      <c r="I23" s="28"/>
      <c r="J23" s="28"/>
    </row>
    <row r="24" spans="1:10" ht="15">
      <c r="A24" s="45"/>
      <c r="B24" s="32">
        <v>15</v>
      </c>
      <c r="C24" s="33" t="s">
        <v>35</v>
      </c>
      <c r="D24" s="34"/>
      <c r="E24" s="33"/>
      <c r="F24" s="33"/>
      <c r="G24" s="28"/>
      <c r="H24" s="28"/>
      <c r="I24" s="28"/>
      <c r="J24" s="28"/>
    </row>
    <row r="25" spans="1:10" ht="15">
      <c r="A25" s="45"/>
      <c r="B25" s="29"/>
      <c r="C25" s="30" t="s">
        <v>36</v>
      </c>
      <c r="D25" s="31"/>
      <c r="E25" s="31"/>
      <c r="F25" s="31"/>
      <c r="G25" s="28">
        <f>COUNTIF(D26:D27,"Sim")</f>
        <v>0</v>
      </c>
      <c r="H25" s="28">
        <f>COUNTIF(D26:D27,"Parcialmente")</f>
        <v>0</v>
      </c>
      <c r="I25" s="28">
        <f>COUNTIF(D26:D27,"Não")</f>
        <v>0</v>
      </c>
      <c r="J25" s="28">
        <f>COUNTIF(D26:D27,"NA")</f>
        <v>0</v>
      </c>
    </row>
    <row r="26" spans="1:10" ht="30">
      <c r="A26" s="45"/>
      <c r="B26" s="38">
        <v>16</v>
      </c>
      <c r="C26" s="36" t="s">
        <v>72</v>
      </c>
      <c r="D26" s="34"/>
      <c r="E26" s="33"/>
      <c r="F26" s="33"/>
      <c r="G26" s="28"/>
      <c r="H26" s="28"/>
      <c r="I26" s="28"/>
      <c r="J26" s="28"/>
    </row>
    <row r="27" spans="1:10" ht="15">
      <c r="A27" s="45"/>
      <c r="B27" s="32">
        <v>17</v>
      </c>
      <c r="C27" s="33" t="s">
        <v>37</v>
      </c>
      <c r="D27" s="34"/>
      <c r="E27" s="33"/>
      <c r="F27" s="33"/>
      <c r="G27" s="28"/>
      <c r="H27" s="28"/>
      <c r="I27" s="28"/>
      <c r="J27" s="28"/>
    </row>
    <row r="28" spans="1:10" ht="15">
      <c r="A28" s="45"/>
      <c r="B28" s="29"/>
      <c r="C28" s="30" t="s">
        <v>13</v>
      </c>
      <c r="D28" s="31"/>
      <c r="E28" s="31"/>
      <c r="F28" s="31"/>
      <c r="G28" s="28">
        <f>COUNTIF(D29:D36,"Sim")</f>
        <v>0</v>
      </c>
      <c r="H28" s="28">
        <f>COUNTIF(D29:D36,"Parcialmente")</f>
        <v>0</v>
      </c>
      <c r="I28" s="28">
        <f>COUNTIF(D29:D36,"Não")</f>
        <v>0</v>
      </c>
      <c r="J28" s="28">
        <f>COUNTIF(D29:D36,"NA")</f>
        <v>0</v>
      </c>
    </row>
    <row r="29" spans="1:10" ht="30">
      <c r="A29" s="45"/>
      <c r="B29" s="38">
        <v>21</v>
      </c>
      <c r="C29" s="36" t="s">
        <v>72</v>
      </c>
      <c r="D29" s="34"/>
      <c r="E29" s="33"/>
      <c r="F29" s="33"/>
      <c r="G29" s="28"/>
      <c r="H29" s="28"/>
      <c r="I29" s="28"/>
      <c r="J29" s="28"/>
    </row>
    <row r="30" spans="1:10" ht="15">
      <c r="A30" s="45"/>
      <c r="B30" s="32">
        <v>22</v>
      </c>
      <c r="C30" s="33" t="s">
        <v>41</v>
      </c>
      <c r="D30" s="34"/>
      <c r="E30" s="33"/>
      <c r="F30" s="33"/>
      <c r="G30" s="28"/>
      <c r="H30" s="28"/>
      <c r="I30" s="28"/>
      <c r="J30" s="28"/>
    </row>
    <row r="31" spans="1:10" ht="15">
      <c r="A31" s="45"/>
      <c r="B31" s="32">
        <v>23</v>
      </c>
      <c r="C31" s="33" t="s">
        <v>86</v>
      </c>
      <c r="D31" s="34"/>
      <c r="E31" s="33"/>
      <c r="F31" s="33"/>
      <c r="G31" s="28"/>
      <c r="H31" s="28"/>
      <c r="I31" s="28"/>
      <c r="J31" s="28"/>
    </row>
    <row r="32" spans="1:10" ht="15">
      <c r="A32" s="45"/>
      <c r="B32" s="32">
        <v>24</v>
      </c>
      <c r="C32" s="33" t="s">
        <v>82</v>
      </c>
      <c r="D32" s="34"/>
      <c r="E32" s="33"/>
      <c r="F32" s="33"/>
      <c r="G32" s="28"/>
      <c r="H32" s="28"/>
      <c r="I32" s="28"/>
      <c r="J32" s="28"/>
    </row>
    <row r="33" spans="1:10" ht="15">
      <c r="A33" s="45"/>
      <c r="B33" s="32">
        <v>25</v>
      </c>
      <c r="C33" s="33" t="s">
        <v>83</v>
      </c>
      <c r="D33" s="34"/>
      <c r="E33" s="33"/>
      <c r="F33" s="33"/>
      <c r="G33" s="28"/>
      <c r="H33" s="28"/>
      <c r="I33" s="28"/>
      <c r="J33" s="28"/>
    </row>
    <row r="34" spans="1:10" ht="30">
      <c r="A34" s="45"/>
      <c r="B34" s="32">
        <v>26</v>
      </c>
      <c r="C34" s="33" t="s">
        <v>87</v>
      </c>
      <c r="D34" s="34"/>
      <c r="E34" s="28"/>
      <c r="F34" s="33"/>
      <c r="G34" s="28"/>
      <c r="H34" s="28"/>
      <c r="I34" s="28"/>
      <c r="J34" s="28"/>
    </row>
    <row r="35" spans="1:10" ht="30">
      <c r="A35" s="45"/>
      <c r="B35" s="32">
        <v>27</v>
      </c>
      <c r="C35" s="33" t="s">
        <v>84</v>
      </c>
      <c r="D35" s="34"/>
      <c r="E35" s="33"/>
      <c r="F35" s="33"/>
      <c r="G35" s="28"/>
      <c r="H35" s="28"/>
      <c r="I35" s="28"/>
      <c r="J35" s="28"/>
    </row>
    <row r="36" spans="1:10" ht="15">
      <c r="A36" s="45"/>
      <c r="B36" s="32">
        <v>28</v>
      </c>
      <c r="C36" s="33" t="s">
        <v>85</v>
      </c>
      <c r="D36" s="33"/>
      <c r="E36" s="33"/>
      <c r="F36" s="33"/>
      <c r="G36" s="28"/>
      <c r="H36" s="28"/>
      <c r="I36" s="28"/>
      <c r="J36" s="28"/>
    </row>
    <row r="37" spans="1:10" ht="15">
      <c r="A37" s="43" t="s">
        <v>30</v>
      </c>
      <c r="B37" s="29"/>
      <c r="C37" s="30" t="s">
        <v>56</v>
      </c>
      <c r="D37" s="31"/>
      <c r="E37" s="31"/>
      <c r="F37" s="31"/>
      <c r="G37" s="28">
        <f>COUNTIF(D38:D41,"Sim")</f>
        <v>0</v>
      </c>
      <c r="H37" s="28">
        <f>COUNTIF(D38:D41,"Parcialmente")</f>
        <v>0</v>
      </c>
      <c r="I37" s="28">
        <f>COUNTIF(D38:D41,"Não")</f>
        <v>0</v>
      </c>
      <c r="J37" s="28">
        <f>COUNTIF(D38:D41,"NA")</f>
        <v>0</v>
      </c>
    </row>
    <row r="38" spans="1:10" ht="30">
      <c r="A38" s="44"/>
      <c r="B38" s="38">
        <v>30</v>
      </c>
      <c r="C38" s="36" t="s">
        <v>73</v>
      </c>
      <c r="D38" s="34"/>
      <c r="E38" s="33"/>
      <c r="F38" s="33"/>
      <c r="G38" s="28"/>
      <c r="H38" s="28"/>
      <c r="I38" s="28"/>
      <c r="J38" s="28"/>
    </row>
    <row r="39" spans="1:10" ht="30">
      <c r="A39" s="44"/>
      <c r="B39" s="32">
        <v>31</v>
      </c>
      <c r="C39" s="33" t="s">
        <v>38</v>
      </c>
      <c r="D39" s="34"/>
      <c r="E39" s="33"/>
      <c r="F39" s="33"/>
      <c r="G39" s="28"/>
      <c r="H39" s="28"/>
      <c r="I39" s="28"/>
      <c r="J39" s="28"/>
    </row>
    <row r="40" spans="1:10" ht="15">
      <c r="A40" s="44"/>
      <c r="B40" s="32">
        <v>32</v>
      </c>
      <c r="C40" s="33" t="s">
        <v>39</v>
      </c>
      <c r="D40" s="34"/>
      <c r="E40" s="33"/>
      <c r="F40" s="33"/>
      <c r="G40" s="28"/>
      <c r="H40" s="28"/>
      <c r="I40" s="28"/>
      <c r="J40" s="28"/>
    </row>
    <row r="41" spans="1:10" ht="30">
      <c r="A41" s="44"/>
      <c r="B41" s="32">
        <v>33</v>
      </c>
      <c r="C41" s="33" t="s">
        <v>42</v>
      </c>
      <c r="D41" s="34"/>
      <c r="E41" s="33"/>
      <c r="F41" s="33"/>
      <c r="G41" s="28"/>
      <c r="H41" s="28"/>
      <c r="I41" s="28"/>
      <c r="J41" s="2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 xr:uid="{3299DAEA-DE76-409E-BA4B-99D6162A5554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68" style="2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61" t="s">
        <v>16</v>
      </c>
      <c r="B1" s="61"/>
      <c r="C1" s="61"/>
      <c r="D1" s="61"/>
      <c r="E1" s="61"/>
      <c r="F1" s="61"/>
    </row>
    <row r="2" spans="1:10" ht="18.75" customHeight="1" thickBot="1">
      <c r="A2" s="62" t="s">
        <v>25</v>
      </c>
      <c r="B2" s="62"/>
      <c r="C2" s="14"/>
      <c r="D2" s="63" t="s">
        <v>44</v>
      </c>
      <c r="E2" s="64"/>
      <c r="F2" s="19" t="e">
        <f>COUNTIF(D5:D41,"Sim")/(COUNTA(D5:D42)-COUNTIF(D5:D42,"NA"))</f>
        <v>#DIV/0!</v>
      </c>
    </row>
    <row r="3" spans="1:10" ht="15.75" thickBot="1">
      <c r="A3" s="62" t="s">
        <v>26</v>
      </c>
      <c r="B3" s="62"/>
      <c r="C3" s="13"/>
      <c r="D3" s="65" t="s">
        <v>43</v>
      </c>
      <c r="E3" s="66"/>
      <c r="F3" s="67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58" t="s">
        <v>17</v>
      </c>
      <c r="B5" s="9"/>
      <c r="C5" s="10" t="s">
        <v>2</v>
      </c>
      <c r="D5" s="12"/>
      <c r="E5" s="12"/>
      <c r="F5" s="12"/>
    </row>
    <row r="6" spans="1:10" ht="15">
      <c r="A6" s="59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59"/>
      <c r="B7" s="9"/>
      <c r="C7" s="10" t="s">
        <v>3</v>
      </c>
      <c r="D7" s="12"/>
      <c r="E7" s="12"/>
      <c r="F7" s="12"/>
    </row>
    <row r="8" spans="1:10" s="1" customFormat="1" ht="30">
      <c r="A8" s="59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s="1" customFormat="1" ht="30">
      <c r="A9" s="59"/>
      <c r="B9" s="5">
        <v>3</v>
      </c>
      <c r="C9" s="8" t="s">
        <v>98</v>
      </c>
      <c r="D9" s="3"/>
      <c r="E9" s="8"/>
      <c r="F9" s="8"/>
      <c r="G9"/>
      <c r="H9"/>
      <c r="I9"/>
      <c r="J9"/>
    </row>
    <row r="10" spans="1:10" ht="15">
      <c r="A10" s="59"/>
      <c r="B10" s="9"/>
      <c r="C10" s="10" t="s">
        <v>97</v>
      </c>
      <c r="D10" s="12"/>
      <c r="E10" s="12"/>
      <c r="F10" s="12"/>
    </row>
    <row r="11" spans="1:10" ht="30">
      <c r="A11" s="59"/>
      <c r="B11" s="20">
        <v>4</v>
      </c>
      <c r="C11" s="21" t="s">
        <v>110</v>
      </c>
      <c r="D11" s="3"/>
      <c r="E11" s="8"/>
      <c r="F11" s="8"/>
      <c r="G11">
        <f>COUNTIF(D11:D14,"Sim")</f>
        <v>0</v>
      </c>
      <c r="H11">
        <f>COUNTIF(D11:D14,"Parcialmente")</f>
        <v>0</v>
      </c>
      <c r="I11">
        <f>COUNTIF(D11:D14,"Não")</f>
        <v>0</v>
      </c>
      <c r="J11">
        <f>COUNTIF(D11:D14,"NA")</f>
        <v>0</v>
      </c>
    </row>
    <row r="12" spans="1:10" ht="30">
      <c r="A12" s="59"/>
      <c r="B12" s="20">
        <v>5</v>
      </c>
      <c r="C12" s="21" t="s">
        <v>81</v>
      </c>
      <c r="D12" s="3"/>
      <c r="E12" s="8"/>
      <c r="F12" s="8"/>
    </row>
    <row r="13" spans="1:10" ht="30">
      <c r="A13" s="59"/>
      <c r="B13" s="5">
        <v>6</v>
      </c>
      <c r="C13" s="8" t="s">
        <v>45</v>
      </c>
      <c r="D13" s="3"/>
      <c r="E13" s="8"/>
      <c r="F13" s="8"/>
    </row>
    <row r="14" spans="1:10" ht="30">
      <c r="A14" s="59"/>
      <c r="B14" s="5">
        <v>7</v>
      </c>
      <c r="C14" s="8" t="s">
        <v>47</v>
      </c>
      <c r="D14" s="3"/>
      <c r="E14" s="8"/>
      <c r="F14" s="8"/>
    </row>
    <row r="15" spans="1:10" ht="15">
      <c r="A15" s="59"/>
      <c r="B15" s="9"/>
      <c r="C15" s="10" t="s">
        <v>4</v>
      </c>
      <c r="D15" s="12"/>
      <c r="E15" s="12"/>
      <c r="F15" s="12"/>
    </row>
    <row r="16" spans="1:10" ht="15">
      <c r="A16" s="59"/>
      <c r="B16" s="5">
        <v>7</v>
      </c>
      <c r="C16" s="8" t="s">
        <v>46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58" t="s">
        <v>18</v>
      </c>
      <c r="B17" s="9"/>
      <c r="C17" s="10" t="s">
        <v>5</v>
      </c>
      <c r="D17" s="11"/>
      <c r="E17" s="12"/>
      <c r="F17" s="12"/>
    </row>
    <row r="18" spans="1:10" ht="30">
      <c r="A18" s="59"/>
      <c r="B18" s="5">
        <v>9</v>
      </c>
      <c r="C18" s="8" t="s">
        <v>48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30">
      <c r="A19" s="59"/>
      <c r="B19" s="20">
        <v>10</v>
      </c>
      <c r="C19" s="21" t="s">
        <v>51</v>
      </c>
      <c r="D19" s="3"/>
      <c r="E19" s="8"/>
      <c r="F19" s="8"/>
    </row>
    <row r="20" spans="1:10" s="1" customFormat="1" ht="30">
      <c r="A20" s="59"/>
      <c r="B20" s="5">
        <v>11</v>
      </c>
      <c r="C20" s="8" t="s">
        <v>61</v>
      </c>
      <c r="D20" s="3"/>
      <c r="E20" s="8"/>
      <c r="F20" s="8"/>
    </row>
    <row r="21" spans="1:10" ht="45">
      <c r="A21" s="59"/>
      <c r="B21" s="5">
        <v>12</v>
      </c>
      <c r="C21" s="8" t="s">
        <v>74</v>
      </c>
      <c r="D21" s="3"/>
      <c r="E21" s="8"/>
      <c r="F21" s="8"/>
    </row>
    <row r="22" spans="1:10" ht="15">
      <c r="A22" s="58" t="s">
        <v>19</v>
      </c>
      <c r="B22" s="9"/>
      <c r="C22" s="10" t="s">
        <v>6</v>
      </c>
      <c r="D22" s="11"/>
      <c r="E22" s="12"/>
      <c r="F22" s="12"/>
    </row>
    <row r="23" spans="1:10" ht="30">
      <c r="A23" s="59"/>
      <c r="B23" s="5">
        <v>17</v>
      </c>
      <c r="C23" s="8" t="s">
        <v>48</v>
      </c>
      <c r="D23" s="3"/>
      <c r="E23" s="8"/>
      <c r="F23" s="8"/>
      <c r="G23">
        <f>COUNTIF(D23:D27,"Sim")</f>
        <v>0</v>
      </c>
      <c r="H23">
        <f>COUNTIF(D23:D27,"Parcialmente")</f>
        <v>0</v>
      </c>
      <c r="I23">
        <f>COUNTIF(D23:D27,"Não")</f>
        <v>0</v>
      </c>
      <c r="J23">
        <f>COUNTIF(D23:D27,"NA")</f>
        <v>0</v>
      </c>
    </row>
    <row r="24" spans="1:10" ht="30">
      <c r="A24" s="59"/>
      <c r="B24" s="5">
        <v>18</v>
      </c>
      <c r="C24" s="8" t="s">
        <v>50</v>
      </c>
      <c r="D24" s="3"/>
      <c r="E24" s="8"/>
      <c r="F24" s="8"/>
    </row>
    <row r="25" spans="1:10" ht="30">
      <c r="A25" s="59"/>
      <c r="B25" s="5">
        <v>19</v>
      </c>
      <c r="C25" s="8" t="s">
        <v>99</v>
      </c>
      <c r="D25" s="3"/>
      <c r="E25" s="8"/>
      <c r="F25" s="8"/>
    </row>
    <row r="26" spans="1:10" ht="15">
      <c r="A26" s="59"/>
      <c r="B26" s="5">
        <v>21</v>
      </c>
      <c r="C26" s="8" t="s">
        <v>100</v>
      </c>
      <c r="D26" s="3"/>
      <c r="E26" s="8"/>
      <c r="F26" s="8"/>
    </row>
    <row r="27" spans="1:10" ht="15">
      <c r="A27" s="59"/>
      <c r="B27" s="5">
        <v>22</v>
      </c>
      <c r="C27" s="8" t="s">
        <v>101</v>
      </c>
      <c r="D27" s="3"/>
      <c r="E27" s="8"/>
      <c r="F27" s="8"/>
    </row>
    <row r="28" spans="1:10" ht="15">
      <c r="A28" s="60" t="s">
        <v>11</v>
      </c>
      <c r="B28" s="9"/>
      <c r="C28" s="10" t="s">
        <v>13</v>
      </c>
      <c r="D28" s="11"/>
      <c r="E28" s="12"/>
      <c r="F28" s="12"/>
    </row>
    <row r="29" spans="1:10" ht="15">
      <c r="A29" s="60"/>
      <c r="B29" s="5">
        <v>23</v>
      </c>
      <c r="C29" s="8" t="s">
        <v>90</v>
      </c>
      <c r="D29" s="3"/>
      <c r="E29" s="8"/>
      <c r="F29" s="8"/>
      <c r="G29">
        <f>COUNTIF(D29:D34,"Sim")</f>
        <v>0</v>
      </c>
      <c r="H29">
        <f>COUNTIF(D29:D34,"Parcialmente")</f>
        <v>0</v>
      </c>
      <c r="I29">
        <f>COUNTIF(D29:D34,"Não")</f>
        <v>0</v>
      </c>
      <c r="J29">
        <f>COUNTIF(D29:D34,"NA")</f>
        <v>0</v>
      </c>
    </row>
    <row r="30" spans="1:10" ht="15">
      <c r="A30" s="60"/>
      <c r="B30" s="5">
        <v>24</v>
      </c>
      <c r="C30" s="8" t="s">
        <v>89</v>
      </c>
      <c r="D30" s="3"/>
      <c r="E30" s="8"/>
      <c r="F30" s="8"/>
    </row>
    <row r="31" spans="1:10" ht="30">
      <c r="A31" s="60"/>
      <c r="B31" s="5">
        <v>25</v>
      </c>
      <c r="C31" s="8" t="s">
        <v>52</v>
      </c>
      <c r="D31" s="3"/>
      <c r="E31" s="8"/>
      <c r="F31" s="8"/>
    </row>
    <row r="32" spans="1:10" ht="15">
      <c r="A32" s="60"/>
      <c r="B32" s="5">
        <v>26</v>
      </c>
      <c r="C32" s="8" t="s">
        <v>88</v>
      </c>
      <c r="D32" s="3"/>
      <c r="E32" s="8"/>
      <c r="F32" s="8"/>
    </row>
    <row r="33" spans="1:10" ht="15">
      <c r="A33" s="60"/>
      <c r="B33" s="5">
        <v>27</v>
      </c>
      <c r="C33" s="8" t="s">
        <v>54</v>
      </c>
      <c r="D33" s="3"/>
      <c r="E33" s="8"/>
      <c r="F33" s="8"/>
    </row>
    <row r="34" spans="1:10" ht="15">
      <c r="A34" s="60"/>
      <c r="B34" s="5">
        <v>28</v>
      </c>
      <c r="C34" s="8" t="s">
        <v>55</v>
      </c>
      <c r="D34" s="3"/>
      <c r="E34" s="8"/>
      <c r="F34" s="8"/>
    </row>
    <row r="35" spans="1:10" ht="15" customHeight="1">
      <c r="A35" s="56" t="s">
        <v>30</v>
      </c>
      <c r="B35" s="9"/>
      <c r="C35" s="10" t="s">
        <v>56</v>
      </c>
      <c r="D35" s="11"/>
      <c r="E35" s="12"/>
      <c r="F35" s="12"/>
    </row>
    <row r="36" spans="1:10" ht="30">
      <c r="A36" s="57"/>
      <c r="B36" s="5">
        <v>29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57"/>
      <c r="B37" s="5">
        <v>30</v>
      </c>
      <c r="C37" s="8" t="s">
        <v>39</v>
      </c>
      <c r="D37" s="3"/>
      <c r="E37" s="8"/>
      <c r="F37" s="8"/>
    </row>
    <row r="38" spans="1:10" ht="30">
      <c r="A38" s="57"/>
      <c r="B38" s="5">
        <v>31</v>
      </c>
      <c r="C38" s="8" t="s">
        <v>42</v>
      </c>
      <c r="D38" s="3"/>
      <c r="E38" s="8"/>
      <c r="F38" s="8"/>
    </row>
    <row r="39" spans="1:10" ht="15">
      <c r="A39" s="57"/>
      <c r="B39" s="9"/>
      <c r="C39" s="10" t="s">
        <v>15</v>
      </c>
      <c r="D39" s="11"/>
      <c r="E39" s="12"/>
      <c r="F39" s="12"/>
    </row>
    <row r="40" spans="1:10" ht="15">
      <c r="A40" s="57"/>
      <c r="B40" s="5">
        <v>32</v>
      </c>
      <c r="C40" s="8" t="s">
        <v>106</v>
      </c>
      <c r="D40" s="3"/>
      <c r="E40" s="8"/>
      <c r="F40" s="8"/>
      <c r="G40">
        <f>COUNTIF(D40:D41,"Sim")</f>
        <v>0</v>
      </c>
      <c r="H40">
        <f>COUNTIF(D40:D41,"Parcialmente")</f>
        <v>0</v>
      </c>
      <c r="I40">
        <f>COUNTIF(D40:D41,"Não")</f>
        <v>0</v>
      </c>
      <c r="J40">
        <f>COUNTIF(D40:D41,"NA")</f>
        <v>0</v>
      </c>
    </row>
    <row r="41" spans="1:10" ht="15">
      <c r="A41" s="57"/>
      <c r="B41" s="5">
        <v>33</v>
      </c>
      <c r="C41" s="8" t="s">
        <v>107</v>
      </c>
      <c r="D41" s="3"/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 xr:uid="{00000000-0002-0000-0200-000000000000}">
      <formula1>"Sim,Não,NA"</formula1>
    </dataValidation>
    <dataValidation type="list" allowBlank="1" showInputMessage="1" showErrorMessage="1" sqref="D40:D41 D36:D38 D29:D34 D18:D21 D16 D11:D14 D8:D9 D6 D23:D27" xr:uid="{08EF66E2-96BC-4443-A5E2-B5C56733D826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9.140625" hidden="1" customWidth="1"/>
  </cols>
  <sheetData>
    <row r="1" spans="1:10" ht="19.5" customHeight="1">
      <c r="A1" s="61" t="s">
        <v>16</v>
      </c>
      <c r="B1" s="61"/>
      <c r="C1" s="61"/>
      <c r="D1" s="61"/>
      <c r="E1" s="61"/>
      <c r="F1" s="61"/>
    </row>
    <row r="2" spans="1:10" ht="18.75" customHeight="1" thickBot="1">
      <c r="A2" s="62" t="s">
        <v>25</v>
      </c>
      <c r="B2" s="62"/>
      <c r="C2" s="14"/>
      <c r="D2" s="63" t="s">
        <v>44</v>
      </c>
      <c r="E2" s="64"/>
      <c r="F2" s="19" t="e">
        <f>COUNTIF(D5:D42,"Sim")/(COUNTA(D5:D41)-COUNTIF(D5:D41,"NA"))</f>
        <v>#DIV/0!</v>
      </c>
    </row>
    <row r="3" spans="1:10" ht="15.75" thickBot="1">
      <c r="A3" s="62" t="s">
        <v>26</v>
      </c>
      <c r="B3" s="62"/>
      <c r="C3" s="13"/>
      <c r="D3" s="65" t="s">
        <v>43</v>
      </c>
      <c r="E3" s="66"/>
      <c r="F3" s="67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58" t="s">
        <v>17</v>
      </c>
      <c r="B5" s="9"/>
      <c r="C5" s="10" t="s">
        <v>2</v>
      </c>
      <c r="D5" s="12"/>
      <c r="E5" s="12"/>
      <c r="F5" s="12"/>
    </row>
    <row r="6" spans="1:10" ht="15">
      <c r="A6" s="59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59"/>
      <c r="B7" s="9"/>
      <c r="C7" s="10" t="s">
        <v>3</v>
      </c>
      <c r="D7" s="12"/>
      <c r="E7" s="12"/>
      <c r="F7" s="12"/>
    </row>
    <row r="8" spans="1:10" s="1" customFormat="1" ht="30">
      <c r="A8" s="59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59"/>
      <c r="B9" s="9"/>
      <c r="C9" s="10" t="s">
        <v>97</v>
      </c>
      <c r="D9" s="12"/>
      <c r="E9" s="12"/>
      <c r="F9" s="12"/>
    </row>
    <row r="10" spans="1:10" ht="30">
      <c r="A10" s="59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59"/>
      <c r="B11" s="5">
        <v>4</v>
      </c>
      <c r="C11" s="8" t="s">
        <v>111</v>
      </c>
      <c r="D11" s="3"/>
      <c r="E11" s="8"/>
      <c r="F11" s="8"/>
    </row>
    <row r="12" spans="1:10" ht="18.75" customHeight="1">
      <c r="A12" s="59"/>
      <c r="B12" s="5">
        <v>5</v>
      </c>
      <c r="C12" s="8" t="s">
        <v>45</v>
      </c>
      <c r="D12" s="3"/>
      <c r="E12" s="8"/>
      <c r="F12" s="8"/>
    </row>
    <row r="13" spans="1:10" ht="15">
      <c r="A13" s="59"/>
      <c r="B13" s="9"/>
      <c r="C13" s="10" t="s">
        <v>4</v>
      </c>
      <c r="D13" s="12"/>
      <c r="E13" s="12"/>
      <c r="F13" s="12"/>
    </row>
    <row r="14" spans="1:10" ht="15">
      <c r="A14" s="59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58" t="s">
        <v>18</v>
      </c>
      <c r="B15" s="9"/>
      <c r="C15" s="10" t="s">
        <v>5</v>
      </c>
      <c r="D15" s="11"/>
      <c r="E15" s="12"/>
      <c r="F15" s="12"/>
    </row>
    <row r="16" spans="1:10" ht="15">
      <c r="A16" s="59"/>
      <c r="B16" s="5">
        <v>8</v>
      </c>
      <c r="C16" s="8" t="s">
        <v>60</v>
      </c>
      <c r="D16" s="3"/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0</v>
      </c>
    </row>
    <row r="17" spans="1:10" ht="15">
      <c r="A17" s="58" t="s">
        <v>19</v>
      </c>
      <c r="B17" s="9"/>
      <c r="C17" s="10" t="s">
        <v>6</v>
      </c>
      <c r="D17" s="11"/>
      <c r="E17" s="12"/>
      <c r="F17" s="12"/>
    </row>
    <row r="18" spans="1:10" ht="15">
      <c r="A18" s="59"/>
      <c r="B18" s="5">
        <v>11</v>
      </c>
      <c r="C18" s="8" t="s">
        <v>102</v>
      </c>
      <c r="D18" s="3"/>
      <c r="E18" s="8"/>
      <c r="F18" s="8"/>
      <c r="G18">
        <f>COUNTIF(D18:D22,"Sim")</f>
        <v>0</v>
      </c>
      <c r="H18">
        <f>COUNTIF(D18:D22,"Parcialmente")</f>
        <v>0</v>
      </c>
      <c r="I18">
        <f>COUNTIF(D18:D22,"Não")</f>
        <v>0</v>
      </c>
      <c r="J18">
        <f>COUNTIF(D18:D22,"NA")</f>
        <v>0</v>
      </c>
    </row>
    <row r="19" spans="1:10" ht="30">
      <c r="A19" s="59"/>
      <c r="B19" s="5">
        <v>13</v>
      </c>
      <c r="C19" s="8" t="s">
        <v>50</v>
      </c>
      <c r="D19" s="3"/>
      <c r="E19" s="8"/>
      <c r="F19" s="8"/>
    </row>
    <row r="20" spans="1:10" ht="30">
      <c r="A20" s="59"/>
      <c r="B20" s="5">
        <v>14</v>
      </c>
      <c r="C20" s="8" t="s">
        <v>99</v>
      </c>
      <c r="D20" s="3"/>
      <c r="E20" s="8"/>
      <c r="F20" s="8"/>
    </row>
    <row r="21" spans="1:10" ht="15">
      <c r="A21" s="59"/>
      <c r="B21" s="5">
        <v>15</v>
      </c>
      <c r="C21" s="8" t="s">
        <v>100</v>
      </c>
      <c r="D21" s="3"/>
      <c r="E21" s="8"/>
      <c r="F21" s="8"/>
    </row>
    <row r="22" spans="1:10" ht="15">
      <c r="A22" s="59"/>
      <c r="B22" s="5">
        <v>16</v>
      </c>
      <c r="C22" s="8" t="s">
        <v>101</v>
      </c>
      <c r="D22" s="3"/>
      <c r="E22" s="8"/>
      <c r="F22" s="8"/>
    </row>
    <row r="23" spans="1:10" ht="15">
      <c r="A23" s="58" t="s">
        <v>20</v>
      </c>
      <c r="B23" s="9"/>
      <c r="C23" s="10" t="s">
        <v>8</v>
      </c>
      <c r="D23" s="11"/>
      <c r="E23" s="12"/>
      <c r="F23" s="12"/>
    </row>
    <row r="24" spans="1:10" ht="30">
      <c r="A24" s="59"/>
      <c r="B24" s="20">
        <v>17</v>
      </c>
      <c r="C24" s="21" t="s">
        <v>72</v>
      </c>
      <c r="D24" s="3"/>
      <c r="E24" s="8"/>
      <c r="F24" s="8"/>
      <c r="G24">
        <f>COUNTIF(D24:D28,"Sim")</f>
        <v>0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30">
      <c r="A25" s="59"/>
      <c r="B25" s="5">
        <v>18</v>
      </c>
      <c r="C25" s="8" t="s">
        <v>57</v>
      </c>
      <c r="D25" s="3"/>
      <c r="E25" s="8"/>
      <c r="F25" s="8"/>
    </row>
    <row r="26" spans="1:10" ht="15">
      <c r="A26" s="59"/>
      <c r="B26" s="5">
        <v>19</v>
      </c>
      <c r="C26" s="8" t="s">
        <v>58</v>
      </c>
      <c r="D26" s="3"/>
      <c r="E26" s="8"/>
      <c r="F26" s="8"/>
    </row>
    <row r="27" spans="1:10" ht="15">
      <c r="A27" s="59"/>
      <c r="B27" s="5">
        <v>21</v>
      </c>
      <c r="C27" s="8" t="s">
        <v>59</v>
      </c>
      <c r="D27" s="3"/>
      <c r="E27" s="8"/>
      <c r="F27" s="8"/>
    </row>
    <row r="28" spans="1:10" ht="15">
      <c r="A28" s="59"/>
      <c r="B28" s="5">
        <v>22</v>
      </c>
      <c r="C28" s="8" t="s">
        <v>103</v>
      </c>
      <c r="D28" s="3"/>
      <c r="E28" s="8"/>
      <c r="F28" s="8"/>
    </row>
    <row r="29" spans="1:10" ht="15">
      <c r="A29" s="60" t="s">
        <v>11</v>
      </c>
      <c r="B29" s="9"/>
      <c r="C29" s="10" t="s">
        <v>13</v>
      </c>
      <c r="D29" s="11"/>
      <c r="E29" s="12"/>
      <c r="F29" s="12"/>
    </row>
    <row r="30" spans="1:10" ht="15">
      <c r="A30" s="60"/>
      <c r="B30" s="5">
        <v>24</v>
      </c>
      <c r="C30" s="8" t="s">
        <v>90</v>
      </c>
      <c r="D30" s="3"/>
      <c r="E30" s="8"/>
      <c r="F30" s="8"/>
      <c r="G30">
        <f>COUNTIF(D30:D34,"Sim")</f>
        <v>0</v>
      </c>
      <c r="H30">
        <f>COUNTIF(D30:D34,"Parcialmente")</f>
        <v>0</v>
      </c>
      <c r="I30">
        <f>COUNTIF(D30:D34,"Não")</f>
        <v>0</v>
      </c>
      <c r="J30">
        <f>COUNTIF(D30:D34,"NA")</f>
        <v>0</v>
      </c>
    </row>
    <row r="31" spans="1:10" ht="30">
      <c r="A31" s="60"/>
      <c r="B31" s="5">
        <v>26</v>
      </c>
      <c r="C31" s="8" t="s">
        <v>104</v>
      </c>
      <c r="D31" s="3"/>
      <c r="E31" s="8"/>
      <c r="F31" s="8"/>
    </row>
    <row r="32" spans="1:10" ht="15">
      <c r="A32" s="60"/>
      <c r="B32" s="5">
        <v>27</v>
      </c>
      <c r="C32" s="8" t="s">
        <v>53</v>
      </c>
      <c r="D32" s="3"/>
      <c r="E32" s="8"/>
      <c r="F32" s="8"/>
    </row>
    <row r="33" spans="1:10" ht="15">
      <c r="A33" s="60"/>
      <c r="B33" s="5">
        <v>28</v>
      </c>
      <c r="C33" s="8" t="s">
        <v>54</v>
      </c>
      <c r="D33" s="3"/>
      <c r="E33" s="8"/>
      <c r="F33" s="8"/>
    </row>
    <row r="34" spans="1:10" ht="15">
      <c r="A34" s="60"/>
      <c r="B34" s="5">
        <v>29</v>
      </c>
      <c r="C34" s="8" t="s">
        <v>55</v>
      </c>
      <c r="D34" s="3"/>
      <c r="E34" s="8"/>
      <c r="F34" s="8"/>
    </row>
    <row r="35" spans="1:10" ht="15" customHeight="1">
      <c r="A35" s="56" t="s">
        <v>30</v>
      </c>
      <c r="B35" s="9"/>
      <c r="C35" s="10" t="s">
        <v>56</v>
      </c>
      <c r="D35" s="11"/>
      <c r="E35" s="12"/>
      <c r="F35" s="12"/>
    </row>
    <row r="36" spans="1:10" ht="30">
      <c r="A36" s="57"/>
      <c r="B36" s="5">
        <v>30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57"/>
      <c r="B37" s="5">
        <v>31</v>
      </c>
      <c r="C37" s="8" t="s">
        <v>39</v>
      </c>
      <c r="D37" s="3"/>
      <c r="E37" s="8"/>
      <c r="F37" s="8"/>
    </row>
    <row r="38" spans="1:10" ht="30">
      <c r="A38" s="57"/>
      <c r="B38" s="5">
        <v>32</v>
      </c>
      <c r="C38" s="8" t="s">
        <v>42</v>
      </c>
      <c r="D38" s="3"/>
      <c r="E38" s="8"/>
      <c r="F38" s="8"/>
    </row>
    <row r="39" spans="1:10" ht="15">
      <c r="A39" s="57"/>
      <c r="B39" s="5"/>
      <c r="C39" s="8" t="s">
        <v>105</v>
      </c>
      <c r="D39" s="3"/>
      <c r="E39" s="8"/>
      <c r="F39" s="8"/>
    </row>
    <row r="40" spans="1:10" ht="15">
      <c r="A40" s="57"/>
      <c r="B40" s="9"/>
      <c r="C40" s="10" t="s">
        <v>15</v>
      </c>
      <c r="D40" s="11"/>
      <c r="E40" s="12"/>
      <c r="F40" s="12"/>
    </row>
    <row r="41" spans="1:10" ht="15">
      <c r="A41" s="57"/>
      <c r="B41" s="5">
        <v>33</v>
      </c>
      <c r="C41" s="8" t="s">
        <v>106</v>
      </c>
      <c r="D41" s="3"/>
      <c r="E41" s="8"/>
      <c r="F41" s="8"/>
      <c r="G41">
        <f>COUNTIF(D41:D42,"Sim")</f>
        <v>0</v>
      </c>
      <c r="H41">
        <f>COUNTIF(D41:D42,"Parcialmente")</f>
        <v>0</v>
      </c>
      <c r="I41">
        <f>COUNTIF(D41:D42,"Não")</f>
        <v>0</v>
      </c>
      <c r="J41">
        <f>COUNTIF(D41:D42,"NA")</f>
        <v>0</v>
      </c>
    </row>
    <row r="42" spans="1:10" ht="15">
      <c r="A42" s="57"/>
      <c r="B42" s="5">
        <v>34</v>
      </c>
      <c r="C42" s="8" t="s">
        <v>107</v>
      </c>
      <c r="D42" s="3"/>
      <c r="E42" s="8"/>
      <c r="F42" s="8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</sheetData>
  <mergeCells count="11">
    <mergeCell ref="A5:A14"/>
    <mergeCell ref="A15:A16"/>
    <mergeCell ref="A17:A22"/>
    <mergeCell ref="A29:A34"/>
    <mergeCell ref="A35:A42"/>
    <mergeCell ref="A23:A28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3 D15 D17 D40 D35 D29" xr:uid="{00000000-0002-0000-0300-000000000000}">
      <formula1>"Sim,Não,NA"</formula1>
    </dataValidation>
    <dataValidation type="list" allowBlank="1" showInputMessage="1" showErrorMessage="1" sqref="D6 D8 D10:D12 D14 D16 D36:D39 D41:D42 D18:D22 D24:D28 D30:D34" xr:uid="{2F69EF16-DBD3-468C-8391-039EC6576FAB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"/>
  <sheetViews>
    <sheetView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61" t="s">
        <v>16</v>
      </c>
      <c r="B1" s="61"/>
      <c r="C1" s="61"/>
      <c r="D1" s="61"/>
      <c r="E1" s="61"/>
      <c r="F1" s="61"/>
    </row>
    <row r="2" spans="1:10" ht="18.75" customHeight="1" thickBot="1">
      <c r="A2" s="62" t="s">
        <v>25</v>
      </c>
      <c r="B2" s="62"/>
      <c r="C2" s="14"/>
      <c r="D2" s="63" t="s">
        <v>44</v>
      </c>
      <c r="E2" s="64"/>
      <c r="F2" s="19" t="e">
        <f>COUNTIF(D5:D43,"Sim")/(COUNTA(D5:D43)-COUNTIF(D5:D43,"NA"))</f>
        <v>#DIV/0!</v>
      </c>
    </row>
    <row r="3" spans="1:10" ht="15.75" thickBot="1">
      <c r="A3" s="62" t="s">
        <v>26</v>
      </c>
      <c r="B3" s="62"/>
      <c r="C3" s="13"/>
      <c r="D3" s="65" t="s">
        <v>43</v>
      </c>
      <c r="E3" s="66"/>
      <c r="F3" s="67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58" t="s">
        <v>17</v>
      </c>
      <c r="B5" s="9"/>
      <c r="C5" s="10" t="s">
        <v>2</v>
      </c>
      <c r="D5" s="12"/>
      <c r="E5" s="12"/>
      <c r="F5" s="12"/>
    </row>
    <row r="6" spans="1:10" ht="15">
      <c r="A6" s="59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59"/>
      <c r="B7" s="9"/>
      <c r="C7" s="10" t="s">
        <v>3</v>
      </c>
      <c r="D7" s="12"/>
      <c r="E7" s="12"/>
      <c r="F7" s="12"/>
    </row>
    <row r="8" spans="1:10" s="1" customFormat="1" ht="30">
      <c r="A8" s="59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59"/>
      <c r="B9" s="9"/>
      <c r="C9" s="10" t="s">
        <v>14</v>
      </c>
      <c r="D9" s="12"/>
      <c r="E9" s="12"/>
      <c r="F9" s="12"/>
    </row>
    <row r="10" spans="1:10" ht="30">
      <c r="A10" s="59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59"/>
      <c r="B11" s="5">
        <v>4</v>
      </c>
      <c r="C11" s="8" t="s">
        <v>111</v>
      </c>
      <c r="D11" s="3"/>
      <c r="E11" s="8"/>
      <c r="F11" s="8"/>
    </row>
    <row r="12" spans="1:10" ht="29.25" customHeight="1">
      <c r="A12" s="59"/>
      <c r="B12" s="5">
        <v>5</v>
      </c>
      <c r="C12" s="8" t="s">
        <v>45</v>
      </c>
      <c r="D12" s="3"/>
      <c r="E12" s="8"/>
      <c r="F12" s="8"/>
    </row>
    <row r="13" spans="1:10" ht="15">
      <c r="A13" s="59"/>
      <c r="B13" s="9"/>
      <c r="C13" s="10" t="s">
        <v>4</v>
      </c>
      <c r="D13" s="12"/>
      <c r="E13" s="12"/>
      <c r="F13" s="12"/>
    </row>
    <row r="14" spans="1:10" ht="15">
      <c r="A14" s="59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58" t="s">
        <v>18</v>
      </c>
      <c r="B15" s="9"/>
      <c r="C15" s="10" t="s">
        <v>5</v>
      </c>
      <c r="D15" s="11"/>
      <c r="E15" s="12"/>
      <c r="F15" s="12"/>
    </row>
    <row r="16" spans="1:10" ht="15">
      <c r="A16" s="59"/>
      <c r="B16" s="5">
        <v>8</v>
      </c>
      <c r="C16" s="8" t="s">
        <v>60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58" t="s">
        <v>19</v>
      </c>
      <c r="B17" s="9"/>
      <c r="C17" s="10" t="s">
        <v>6</v>
      </c>
      <c r="D17" s="11"/>
      <c r="E17" s="12"/>
      <c r="F17" s="12"/>
    </row>
    <row r="18" spans="1:10" ht="30">
      <c r="A18" s="59"/>
      <c r="B18" s="5">
        <v>9</v>
      </c>
      <c r="C18" s="8" t="s">
        <v>63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15">
      <c r="A19" s="59"/>
      <c r="B19" s="5">
        <v>10</v>
      </c>
      <c r="C19" s="8" t="s">
        <v>64</v>
      </c>
      <c r="D19" s="3"/>
      <c r="E19" s="8"/>
      <c r="F19" s="8"/>
    </row>
    <row r="20" spans="1:10" ht="30">
      <c r="A20" s="59"/>
      <c r="B20" s="5">
        <v>11</v>
      </c>
      <c r="C20" s="8" t="s">
        <v>99</v>
      </c>
      <c r="D20" s="3"/>
      <c r="E20" s="8"/>
      <c r="F20" s="8"/>
    </row>
    <row r="21" spans="1:10" ht="15">
      <c r="A21" s="68"/>
      <c r="B21" s="5">
        <v>13</v>
      </c>
      <c r="C21" s="8" t="s">
        <v>49</v>
      </c>
      <c r="D21" s="3"/>
      <c r="E21" s="8"/>
      <c r="F21" s="8"/>
    </row>
    <row r="22" spans="1:10" ht="15">
      <c r="A22" s="58" t="s">
        <v>20</v>
      </c>
      <c r="B22" s="9"/>
      <c r="C22" s="10" t="s">
        <v>8</v>
      </c>
      <c r="D22" s="11"/>
      <c r="E22" s="12"/>
      <c r="F22" s="12"/>
    </row>
    <row r="23" spans="1:10" ht="15">
      <c r="A23" s="59"/>
      <c r="B23" s="5">
        <v>14</v>
      </c>
      <c r="C23" s="8" t="s">
        <v>112</v>
      </c>
      <c r="D23" s="3"/>
      <c r="E23" s="8"/>
      <c r="F23" s="8"/>
      <c r="G23">
        <f>COUNTIF(D23:D24,"Sim")</f>
        <v>0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5">
      <c r="A24" s="59"/>
      <c r="B24" s="5">
        <v>15</v>
      </c>
      <c r="C24" s="8" t="s">
        <v>103</v>
      </c>
      <c r="D24" s="3"/>
      <c r="E24" s="8"/>
      <c r="F24" s="8"/>
    </row>
    <row r="25" spans="1:10" s="1" customFormat="1" ht="15" customHeight="1">
      <c r="A25" s="58" t="s">
        <v>21</v>
      </c>
      <c r="B25" s="9"/>
      <c r="C25" s="10" t="s">
        <v>9</v>
      </c>
      <c r="D25" s="11"/>
      <c r="E25" s="12"/>
      <c r="F25" s="12"/>
    </row>
    <row r="26" spans="1:10" s="1" customFormat="1" ht="30">
      <c r="A26" s="59"/>
      <c r="B26" s="20">
        <v>24</v>
      </c>
      <c r="C26" s="21" t="s">
        <v>72</v>
      </c>
      <c r="D26" s="3"/>
      <c r="E26" s="8"/>
      <c r="F26" s="8"/>
      <c r="G26">
        <f>COUNTIF(D26:D27,"Sim")</f>
        <v>0</v>
      </c>
      <c r="H26">
        <f>COUNTIF(D26:D27,"Parcialmente")</f>
        <v>0</v>
      </c>
      <c r="I26">
        <f>COUNTIF(D26:D27,"Não")</f>
        <v>0</v>
      </c>
      <c r="J26">
        <f>COUNTIF(D26:D27,"NA")</f>
        <v>0</v>
      </c>
    </row>
    <row r="27" spans="1:10" s="1" customFormat="1" ht="45">
      <c r="A27" s="59"/>
      <c r="B27" s="5">
        <v>25</v>
      </c>
      <c r="C27" s="8" t="s">
        <v>62</v>
      </c>
      <c r="D27" s="3"/>
      <c r="E27" s="8"/>
      <c r="F27" s="8"/>
    </row>
    <row r="28" spans="1:10" ht="15">
      <c r="A28" s="59"/>
      <c r="B28" s="9"/>
      <c r="C28" s="10" t="s">
        <v>10</v>
      </c>
      <c r="D28" s="11"/>
      <c r="E28" s="12"/>
      <c r="F28" s="12"/>
    </row>
    <row r="29" spans="1:10" ht="30">
      <c r="A29" s="59"/>
      <c r="B29" s="20">
        <v>26</v>
      </c>
      <c r="C29" s="21" t="s">
        <v>72</v>
      </c>
      <c r="D29" s="3"/>
      <c r="E29" s="8"/>
      <c r="F29" s="8"/>
      <c r="G29">
        <f>COUNTIF(D29:D29,"Sim")</f>
        <v>0</v>
      </c>
      <c r="H29">
        <f>COUNTIF(D29:D29,"Parcialmente")</f>
        <v>0</v>
      </c>
      <c r="I29">
        <f>COUNTIF(D29:D29,"Não")</f>
        <v>0</v>
      </c>
      <c r="J29">
        <f>COUNTIF(D29:D29,"NA")</f>
        <v>0</v>
      </c>
    </row>
    <row r="30" spans="1:10" ht="15">
      <c r="A30" s="60" t="s">
        <v>11</v>
      </c>
      <c r="B30" s="9"/>
      <c r="C30" s="10" t="s">
        <v>13</v>
      </c>
      <c r="D30" s="11"/>
      <c r="E30" s="12"/>
      <c r="F30" s="12"/>
    </row>
    <row r="31" spans="1:10" ht="15">
      <c r="A31" s="60"/>
      <c r="B31" s="5">
        <v>19</v>
      </c>
      <c r="C31" s="8" t="s">
        <v>90</v>
      </c>
      <c r="D31" s="3"/>
      <c r="E31" s="8"/>
      <c r="F31" s="8"/>
      <c r="G31">
        <f>COUNTIF(D31:D35,"Sim")</f>
        <v>0</v>
      </c>
      <c r="H31">
        <f>COUNTIF(D31:D35,"Parcialmente")</f>
        <v>0</v>
      </c>
      <c r="I31">
        <f>COUNTIF(D31:D35,"Não")</f>
        <v>0</v>
      </c>
      <c r="J31">
        <f>COUNTIF(D31:D35,"NA")</f>
        <v>0</v>
      </c>
    </row>
    <row r="32" spans="1:10" ht="30">
      <c r="A32" s="60"/>
      <c r="B32" s="5">
        <v>20</v>
      </c>
      <c r="C32" s="8" t="s">
        <v>104</v>
      </c>
      <c r="D32" s="3"/>
      <c r="E32" s="8"/>
      <c r="F32" s="8"/>
    </row>
    <row r="33" spans="1:10" ht="15">
      <c r="A33" s="60"/>
      <c r="B33" s="5">
        <v>21</v>
      </c>
      <c r="C33" s="8" t="s">
        <v>53</v>
      </c>
      <c r="D33" s="3"/>
      <c r="E33" s="8"/>
      <c r="F33" s="8"/>
    </row>
    <row r="34" spans="1:10" ht="15">
      <c r="A34" s="60"/>
      <c r="B34" s="5">
        <v>24</v>
      </c>
      <c r="C34" s="8" t="s">
        <v>113</v>
      </c>
      <c r="D34" s="3"/>
      <c r="E34" s="8"/>
      <c r="F34" s="8"/>
    </row>
    <row r="35" spans="1:10" ht="15">
      <c r="A35" s="60"/>
      <c r="B35" s="5">
        <v>25</v>
      </c>
      <c r="C35" s="8" t="s">
        <v>55</v>
      </c>
      <c r="D35" s="3"/>
      <c r="E35" s="8"/>
      <c r="F35" s="8"/>
    </row>
    <row r="36" spans="1:10" ht="15" customHeight="1">
      <c r="A36" s="56" t="s">
        <v>30</v>
      </c>
      <c r="B36" s="9"/>
      <c r="C36" s="10" t="s">
        <v>56</v>
      </c>
      <c r="D36" s="11"/>
      <c r="E36" s="12"/>
      <c r="F36" s="12"/>
    </row>
    <row r="37" spans="1:10" ht="30">
      <c r="A37" s="57"/>
      <c r="B37" s="5">
        <v>26</v>
      </c>
      <c r="C37" s="8" t="s">
        <v>38</v>
      </c>
      <c r="D37" s="3"/>
      <c r="E37" s="8"/>
      <c r="F37" s="8"/>
      <c r="G37">
        <f>COUNTIF(D37:D39,"Sim")</f>
        <v>0</v>
      </c>
      <c r="H37">
        <f>COUNTIF(D37:D39,"Parcialmente")</f>
        <v>0</v>
      </c>
      <c r="I37">
        <f>COUNTIF(D37:D39,"Não")</f>
        <v>0</v>
      </c>
      <c r="J37">
        <f>COUNTIF(D37:D39,"NA")</f>
        <v>0</v>
      </c>
    </row>
    <row r="38" spans="1:10" ht="15">
      <c r="A38" s="57"/>
      <c r="B38" s="5">
        <v>27</v>
      </c>
      <c r="C38" s="8" t="s">
        <v>39</v>
      </c>
      <c r="D38" s="3"/>
      <c r="E38" s="8"/>
      <c r="F38" s="8"/>
    </row>
    <row r="39" spans="1:10" ht="30">
      <c r="A39" s="57"/>
      <c r="B39" s="5">
        <v>28</v>
      </c>
      <c r="C39" s="8" t="s">
        <v>42</v>
      </c>
      <c r="D39" s="3"/>
      <c r="E39" s="8"/>
      <c r="F39" s="8"/>
    </row>
    <row r="40" spans="1:10" ht="15">
      <c r="A40" s="57"/>
      <c r="B40" s="5"/>
      <c r="C40" s="8" t="s">
        <v>105</v>
      </c>
      <c r="D40" s="3"/>
      <c r="E40" s="8"/>
      <c r="F40" s="8"/>
    </row>
    <row r="41" spans="1:10" ht="15">
      <c r="A41" s="57"/>
      <c r="B41" s="9"/>
      <c r="C41" s="10" t="s">
        <v>15</v>
      </c>
      <c r="D41" s="11"/>
      <c r="E41" s="12"/>
      <c r="F41" s="12"/>
    </row>
    <row r="42" spans="1:10" ht="15">
      <c r="A42" s="57"/>
      <c r="B42" s="5">
        <v>29</v>
      </c>
      <c r="C42" s="8" t="s">
        <v>106</v>
      </c>
      <c r="D42" s="3"/>
      <c r="E42" s="8"/>
      <c r="F42" s="8"/>
      <c r="G42">
        <f>COUNTIF(D42:D43,"Sim")</f>
        <v>0</v>
      </c>
      <c r="H42">
        <f>COUNTIF(D42:D43,"Parcialmente")</f>
        <v>0</v>
      </c>
      <c r="I42">
        <f>COUNTIF(D42:D43,"Não")</f>
        <v>0</v>
      </c>
      <c r="J42">
        <f>COUNTIF(D42:D43,"NA")</f>
        <v>0</v>
      </c>
    </row>
    <row r="43" spans="1:10" ht="15">
      <c r="A43" s="57"/>
      <c r="B43" s="5">
        <v>30</v>
      </c>
      <c r="C43" s="8" t="s">
        <v>107</v>
      </c>
      <c r="D43" s="3"/>
      <c r="E43" s="8"/>
      <c r="F43" s="8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</sheetData>
  <mergeCells count="12">
    <mergeCell ref="A22:A24"/>
    <mergeCell ref="A30:A35"/>
    <mergeCell ref="A36:A43"/>
    <mergeCell ref="A17:A21"/>
    <mergeCell ref="A25:A29"/>
    <mergeCell ref="A5:A14"/>
    <mergeCell ref="A15:A16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5 D17 D15 D22 D41 D36 D30 D28" xr:uid="{00000000-0002-0000-0400-000000000000}">
      <formula1>"Sim,Não,NA"</formula1>
    </dataValidation>
    <dataValidation type="list" allowBlank="1" showInputMessage="1" showErrorMessage="1" sqref="D6 D8 D10:D12 D14 D16 D23:D24 D26:D27 D29 D31:D35 D42:D43 D18:D21 D37:D40" xr:uid="{A5BD53E1-86A3-4B0D-8790-16FF9D054B9C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2026-09-26T22:26:53Z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